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ugut\Documents\GitHubDeskTop\Sistema_de_gestao_imobiliaria-SGI-\docs\"/>
    </mc:Choice>
  </mc:AlternateContent>
  <xr:revisionPtr revIDLastSave="0" documentId="13_ncr:1_{D4B2FBDA-AF3D-4701-9536-E1D9C18409D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Geral" sheetId="1" r:id="rId1"/>
    <sheet name="Atores" sheetId="2" r:id="rId2"/>
    <sheet name="RFS ou RFC" sheetId="3" r:id="rId3"/>
    <sheet name="Fatores" sheetId="4" r:id="rId4"/>
    <sheet name="dadoshistoricos" sheetId="5" r:id="rId5"/>
  </sheets>
  <definedNames>
    <definedName name="_Toc112831755" localSheetId="2">'RFS ou RFC'!$B$13</definedName>
    <definedName name="Atores">Atores!$B$13:$C$17</definedName>
    <definedName name="CUC">'RFS ou RFC'!$D$13:$D$39</definedName>
    <definedName name="FCAMB">Fatores!$G$36</definedName>
    <definedName name="FCTEC">Fatores!$E$22</definedName>
    <definedName name="ITEC">Fatores!$E$22</definedName>
    <definedName name="PTA">Atores!$D$10</definedName>
    <definedName name="PTUC">'RFS ou RFC'!$D$10</definedName>
    <definedName name="UC">'RFS ou RFC'!$A$12:$C$39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9" i="5" l="1"/>
  <c r="J29" i="5"/>
  <c r="I29" i="5"/>
  <c r="H29" i="5"/>
  <c r="G29" i="5"/>
  <c r="F29" i="5"/>
  <c r="E29" i="5"/>
  <c r="D9" i="5"/>
  <c r="L9" i="5" s="1"/>
  <c r="L8" i="5"/>
  <c r="D8" i="5"/>
  <c r="L7" i="5"/>
  <c r="D7" i="5"/>
  <c r="D6" i="5"/>
  <c r="L6" i="5" s="1"/>
  <c r="G36" i="4"/>
  <c r="E22" i="4"/>
  <c r="B60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9" i="3"/>
  <c r="D8" i="3"/>
  <c r="D7" i="3"/>
  <c r="D10" i="3" s="1"/>
  <c r="D9" i="2"/>
  <c r="D8" i="2"/>
  <c r="D7" i="2"/>
  <c r="D10" i="2" s="1"/>
  <c r="G31" i="5" l="1"/>
  <c r="K16" i="1" s="1"/>
  <c r="I31" i="5"/>
  <c r="K18" i="1" s="1"/>
  <c r="C18" i="2"/>
  <c r="E13" i="1"/>
  <c r="F31" i="5"/>
  <c r="D29" i="5"/>
  <c r="K14" i="1" l="1"/>
  <c r="J14" i="1" s="1"/>
  <c r="K15" i="1"/>
  <c r="J15" i="1" s="1"/>
  <c r="J18" i="1"/>
  <c r="J16" i="1"/>
  <c r="K31" i="5"/>
  <c r="K20" i="1" s="1"/>
  <c r="J20" i="1" s="1"/>
  <c r="J31" i="5"/>
  <c r="K19" i="1" s="1"/>
  <c r="J19" i="1" s="1"/>
  <c r="H31" i="5"/>
  <c r="K17" i="1" s="1"/>
  <c r="J17" i="1" s="1"/>
  <c r="E31" i="5"/>
  <c r="L31" i="5" l="1"/>
  <c r="K13" i="1"/>
  <c r="K21" i="1" l="1"/>
  <c r="J13" i="1"/>
  <c r="J2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7" authorId="0" shapeId="0" xr:uid="{00000000-0006-0000-0100-000001000000}">
      <text>
        <r>
          <rPr>
            <sz val="10"/>
            <color rgb="FF000000"/>
            <rFont val="Arial"/>
            <scheme val="minor"/>
          </rPr>
          <t>Ator Simples:
Representa um outro sistema com Interface definida de Programas.</t>
        </r>
      </text>
    </comment>
    <comment ref="B8" authorId="0" shapeId="0" xr:uid="{00000000-0006-0000-0100-000002000000}">
      <text>
        <r>
          <rPr>
            <sz val="10"/>
            <color rgb="FF000000"/>
            <rFont val="Arial"/>
            <scheme val="minor"/>
          </rPr>
          <t>Ator Médio:
Representa um outro sistema que  interage através de protocolos ou quando há interação humana através de terminal.</t>
        </r>
      </text>
    </comment>
    <comment ref="B9" authorId="0" shapeId="0" xr:uid="{00000000-0006-0000-0100-000003000000}">
      <text>
        <r>
          <rPr>
            <sz val="10"/>
            <color rgb="FF000000"/>
            <rFont val="Arial"/>
            <scheme val="minor"/>
          </rPr>
          <t>Ator Complexo:
É uma pessoa que interage através de Interface
Gráfica ou página Web.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7" authorId="0" shapeId="0" xr:uid="{00000000-0006-0000-0200-000001000000}">
      <text>
        <r>
          <rPr>
            <sz val="10"/>
            <color rgb="FF000000"/>
            <rFont val="Arial"/>
            <scheme val="minor"/>
          </rPr>
          <t>UC Simples:
Tem até 3 Entidades</t>
        </r>
      </text>
    </comment>
    <comment ref="B8" authorId="0" shapeId="0" xr:uid="{00000000-0006-0000-0200-000002000000}">
      <text>
        <r>
          <rPr>
            <sz val="10"/>
            <color rgb="FF000000"/>
            <rFont val="Arial"/>
            <scheme val="minor"/>
          </rPr>
          <t>UC Médio:
Tem de 3 a 5 Entidades.</t>
        </r>
      </text>
    </comment>
    <comment ref="B9" authorId="0" shapeId="0" xr:uid="{00000000-0006-0000-0200-000003000000}">
      <text>
        <r>
          <rPr>
            <sz val="10"/>
            <color rgb="FF000000"/>
            <rFont val="Arial"/>
            <scheme val="minor"/>
          </rPr>
          <t>UC Complexo:
Acima de 5 entidades.</t>
        </r>
      </text>
    </comment>
    <comment ref="D12" authorId="0" shapeId="0" xr:uid="{00000000-0006-0000-0200-000004000000}">
      <text>
        <r>
          <rPr>
            <sz val="10"/>
            <color rgb="FF000000"/>
            <rFont val="Arial"/>
            <scheme val="minor"/>
          </rPr>
          <t>Fórmula para Identificar de forma automática a complexidade do UC:
=SE(C13&lt;4;"Simples";(SE(C13&gt;7;"Complexo";"Médio")))</t>
        </r>
      </text>
    </comment>
  </commentList>
</comments>
</file>

<file path=xl/sharedStrings.xml><?xml version="1.0" encoding="utf-8"?>
<sst xmlns="http://schemas.openxmlformats.org/spreadsheetml/2006/main" count="260" uniqueCount="245">
  <si>
    <t>Estimativa de Esforço de Projeto baseado em                                                                Pontos de Caso de Uso (vs 1.1)</t>
  </si>
  <si>
    <t>Projeto:</t>
  </si>
  <si>
    <t>&lt;Nome do projeto&gt;</t>
  </si>
  <si>
    <t>Responsável:</t>
  </si>
  <si>
    <t>&lt;Nome do responsável pela estimativa&gt;</t>
  </si>
  <si>
    <t>Data:</t>
  </si>
  <si>
    <t>&lt;data da estimativa&gt;</t>
  </si>
  <si>
    <t>Vs. do Documento:</t>
  </si>
  <si>
    <t>x.x</t>
  </si>
  <si>
    <t>&lt; Obs.: As instruções para uso da planilha encontram-se logo a baixo&gt;</t>
  </si>
  <si>
    <t>Resultado da Estimativa</t>
  </si>
  <si>
    <t>Esforço por fases</t>
  </si>
  <si>
    <t>Horas</t>
  </si>
  <si>
    <t>%</t>
  </si>
  <si>
    <t>Total de Pontos de Caso de Uso(tamanho)</t>
  </si>
  <si>
    <t>Fase de Prospecção</t>
  </si>
  <si>
    <t>Homens/hora por RFS</t>
  </si>
  <si>
    <t>Fase de Análise</t>
  </si>
  <si>
    <t>Fase de Projeto</t>
  </si>
  <si>
    <t>Fase de Planejamento</t>
  </si>
  <si>
    <t>Fase de Desenvolvimento</t>
  </si>
  <si>
    <t>Processo de Monitoramento e Controle</t>
  </si>
  <si>
    <t>Fase de Fechamento</t>
  </si>
  <si>
    <t>Instruções para realizar a estimativa do Projeto:</t>
  </si>
  <si>
    <t>Processo Controle de mudanças</t>
  </si>
  <si>
    <t>Total de horas do Projeto</t>
  </si>
  <si>
    <t>1) Preencha a Planilha Atores indicando os atores(usuários do sistema) e a sua complexidade.</t>
  </si>
  <si>
    <t>2) Preencha a Planilha RFS ou RFC indicando os Requisitos e quantidade de transações.</t>
  </si>
  <si>
    <t>3) Preencha a Planilha Fatores, com os fatores de complexidade ambiental e técnicos do Projeto.</t>
  </si>
  <si>
    <t>4) Após a execução dos passos anteriores, os resultados finais encontram-se na Planilha Geral.</t>
  </si>
  <si>
    <t>Obs.:</t>
  </si>
  <si>
    <t>Existem informações ocultas na células que possuem marcação(pontos coloridos). Posicione o mouse sobre a celula para visualizar a informação.</t>
  </si>
  <si>
    <t>Atores do Projeto</t>
  </si>
  <si>
    <t>Complexidade do Ator</t>
  </si>
  <si>
    <t>Peso</t>
  </si>
  <si>
    <t>Qt. de Atores</t>
  </si>
  <si>
    <t>Simples</t>
  </si>
  <si>
    <t>Médio</t>
  </si>
  <si>
    <t>Complexo</t>
  </si>
  <si>
    <t>Peso Total Atores =</t>
  </si>
  <si>
    <t>Atores</t>
  </si>
  <si>
    <t>Complexidade</t>
  </si>
  <si>
    <t>Administrador</t>
  </si>
  <si>
    <t>Corretor</t>
  </si>
  <si>
    <t>Cliente</t>
  </si>
  <si>
    <t>Total</t>
  </si>
  <si>
    <t>Casos de Uso do Projeto</t>
  </si>
  <si>
    <t>Complexidade do RF</t>
  </si>
  <si>
    <t>Qt. de UC</t>
  </si>
  <si>
    <t>Peso Total UC</t>
  </si>
  <si>
    <t>ID</t>
  </si>
  <si>
    <t>Nome do RFC ou RFS</t>
  </si>
  <si>
    <t>Nro Entidades</t>
  </si>
  <si>
    <t>Discriminar Transações(opcional)</t>
  </si>
  <si>
    <t>[RFC01]</t>
  </si>
  <si>
    <t>Manter Usuários</t>
  </si>
  <si>
    <t>Cadastro, consulta, edição e remoção de usuários (Administrador, Corretor, Cliente). Exclusão bloqueada se contrato ativo.</t>
  </si>
  <si>
    <t>[RFC02]</t>
  </si>
  <si>
    <t>Manter Imóveis</t>
  </si>
  <si>
    <t>Cadastro, consulta, edição e remoção de imóveis com dados completos (endereço, tipo, valor, status).</t>
  </si>
  <si>
    <t>[RFC03]</t>
  </si>
  <si>
    <t>Manter Contratos</t>
  </si>
  <si>
    <t>Cadastro, consulta, edição e remoção de contratos (locação ou venda) vinculando imóveis e clientes. Exclusão com pagamentos bloqueada.</t>
  </si>
  <si>
    <t>[RFC04]</t>
  </si>
  <si>
    <t>Manter Pagamentos/Recebimentos</t>
  </si>
  <si>
    <t>Cadastro, consulta, edição e remoção de pagamentos, repasses e comissões. Exclusão bloqueada se confirmado como 'Pago'.</t>
  </si>
  <si>
    <t>[RFC05]</t>
  </si>
  <si>
    <t>Gerar Relatórios e Indicadores</t>
  </si>
  <si>
    <t>Geração de relatórios e indicadores financeiros e de operações (imóveis, contratos, pagamentos).</t>
  </si>
  <si>
    <t>[RFC06]</t>
  </si>
  <si>
    <t>Gerenciar Documentos Associados</t>
  </si>
  <si>
    <t>Upload, download e visualização de documentos eletrônicos associados às entidades.</t>
  </si>
  <si>
    <t>[RFC07]</t>
  </si>
  <si>
    <t>Autenticar e gerir acesso</t>
  </si>
  <si>
    <t>Login seguro, controle de permissões baseado em perfil de usuário.</t>
  </si>
  <si>
    <t>[RFS01]</t>
  </si>
  <si>
    <t>Cadastrar Usuário</t>
  </si>
  <si>
    <t>Preencher campos de cadastro de usuário (Nome, CPF/CNPJ, E-mail, Telefone, Perfil, Senha).</t>
  </si>
  <si>
    <t>[RFS02]</t>
  </si>
  <si>
    <t>Editar Usuário</t>
  </si>
  <si>
    <t>Editar atributos de usuário; usuários podem editar alguns dados pessoais; atualização em todas as menções.</t>
  </si>
  <si>
    <t>[RFS03]</t>
  </si>
  <si>
    <t>Remover Usuário</t>
  </si>
  <si>
    <t>Remoção lógica com bloqueio se dependências (contratos) existirem; mensagem de erro.</t>
  </si>
  <si>
    <t>[RFS04]</t>
  </si>
  <si>
    <t>Consultar Usuário</t>
  </si>
  <si>
    <t>Pesquisa por nome com filtros; ordenação alfabética; exibir resultados.</t>
  </si>
  <si>
    <t>[RFS05]</t>
  </si>
  <si>
    <t>Cadastrar Imóvel</t>
  </si>
  <si>
    <t>Preencher campos do imóvel (endereço, tipo, finalidade, valor, status, área, quartos...).</t>
  </si>
  <si>
    <t>[RFS06]</t>
  </si>
  <si>
    <t>Editar Imóvel</t>
  </si>
  <si>
    <t>Editar atributos do imóvel; Endereço e Área só para correção.</t>
  </si>
  <si>
    <t>[RFS07]</t>
  </si>
  <si>
    <t>Remover Imóvel</t>
  </si>
  <si>
    <t>Remoção lógica com bloqueio se houver contratos ativos ou pagamentos; mensagem de erro.</t>
  </si>
  <si>
    <t>[RFS08]</t>
  </si>
  <si>
    <t>Consultar Imóvel</t>
  </si>
  <si>
    <t>Pesquisa com múltiplos filtros (endereço, tipo, finalidade, valor, status, area, quartos...). Agrupamento por valor e exibição detalhada.</t>
  </si>
  <si>
    <t>[RFS09]</t>
  </si>
  <si>
    <t>Cadastrar Pagamento</t>
  </si>
  <si>
    <t>Registrar pagamentos vinculados a contratos com tipo, data de vencimento, forma e status; pagamentos 'Pago' não editáveis/excluíveis.</t>
  </si>
  <si>
    <t>[RFS10]</t>
  </si>
  <si>
    <t>Editar Pagamento</t>
  </si>
  <si>
    <t>Editar pagamentos mediante solicitação; somente Administrador pode; atualização automática de status quando pago.</t>
  </si>
  <si>
    <t>[RFS11]</t>
  </si>
  <si>
    <t>Remover Pagamento</t>
  </si>
  <si>
    <t>Remoção bloqueada para pagamentos pendentes/atrasados/pagos; mensagem de erro.</t>
  </si>
  <si>
    <t>[RFS12]</t>
  </si>
  <si>
    <t>Consultar Pagamento</t>
  </si>
  <si>
    <t>Pesquisa por cliente com filtros (tipo, cliente, status); agrupamento por nome.</t>
  </si>
  <si>
    <t>[RFS13]</t>
  </si>
  <si>
    <t>Cadastrar Contrato</t>
  </si>
  <si>
    <t>Criar contrato vinculando imóvel e clientes, com termos, datas, valor, anexar documentos.</t>
  </si>
  <si>
    <t>[RFS14]</t>
  </si>
  <si>
    <t>Editar Contrato</t>
  </si>
  <si>
    <t>Editar contrato conforme regras de negocio; acesso via consultar contrato.</t>
  </si>
  <si>
    <t>[RFS15]</t>
  </si>
  <si>
    <t>Remover Contrato</t>
  </si>
  <si>
    <t>Remoção bloqueada se contrato ativo ou com registros de pagamento; mensagem de erro.</t>
  </si>
  <si>
    <t>[RFS16]</t>
  </si>
  <si>
    <t>Consultar Contrato</t>
  </si>
  <si>
    <t>Pesquisa por nome de usuário com filtros; exibir, alterar e remover através de ícones.</t>
  </si>
  <si>
    <t>[RFS17]</t>
  </si>
  <si>
    <t>Gerar Relatórios</t>
  </si>
  <si>
    <t>Gerar relatórios customizáveis em PDF/Excel sobre imóveis, contratos, pagamentos e clientes.</t>
  </si>
  <si>
    <t>[RFS18]</t>
  </si>
  <si>
    <t>Anexar Documentos</t>
  </si>
  <si>
    <t>Upload/download de documentos relacionados a imóveis, contratos e clientes.</t>
  </si>
  <si>
    <t>[RFS19]</t>
  </si>
  <si>
    <t>Visualizar Dashboard/Painel Gerencial</t>
  </si>
  <si>
    <t>Exibir painel com indicadores e resumos gráficos (imóveis, contratos, inadimplência, projeções).</t>
  </si>
  <si>
    <t>[RFS20]</t>
  </si>
  <si>
    <t>Realizar LogIn</t>
  </si>
  <si>
    <t>Autenticação por e-mail/CPF e senha; controle de tentativas e recuperação de senha.</t>
  </si>
  <si>
    <t>[IS01]</t>
  </si>
  <si>
    <t>Sugestão de Valores de Mercado</t>
  </si>
  <si>
    <t>Sugestão automática de valores com base em imóveis da mesma região e tipo.</t>
  </si>
  <si>
    <t>[IS02]</t>
  </si>
  <si>
    <t>Alerta de Contratos a Vencer</t>
  </si>
  <si>
    <t>Identificar contratos próximos do término e enviar alertas.</t>
  </si>
  <si>
    <t>[IS03]</t>
  </si>
  <si>
    <t>Detecção de Inconsistências</t>
  </si>
  <si>
    <t>Verificar inconsistências ao salvar contrato/pagamento (ex: imóvel já vendido).</t>
  </si>
  <si>
    <t>[IS04]</t>
  </si>
  <si>
    <t>Indicadores e Painel Gerencial</t>
  </si>
  <si>
    <t>Geração automática de gráficos e métricas.</t>
  </si>
  <si>
    <t>[IS05]</t>
  </si>
  <si>
    <t>Recomendação de Imóveis para Clientes</t>
  </si>
  <si>
    <t>Recomendar imóveis baseado em buscas e perfil do cliente.</t>
  </si>
  <si>
    <t>[IS06]</t>
  </si>
  <si>
    <t>Previsão de Ocupação</t>
  </si>
  <si>
    <t>Analisar histórico de locações para prever demanda e sugerir preços/campanhas.</t>
  </si>
  <si>
    <t>[RNF01]</t>
  </si>
  <si>
    <t>Autenticação de Usuários</t>
  </si>
  <si>
    <t>Login com senha criptografada, controle de tentativas, recuperação por e-mail.</t>
  </si>
  <si>
    <t>[RNF02]</t>
  </si>
  <si>
    <t>Controle de Acesso por Perfil</t>
  </si>
  <si>
    <t>Permissões específicas por perfil (Admin, Corretor, Cliente).</t>
  </si>
  <si>
    <t>[RNF03]</t>
  </si>
  <si>
    <t>Registro de Atividades (Log)</t>
  </si>
  <si>
    <t>Registro de inclusões, edições e exclusões com data/hora/usuario.</t>
  </si>
  <si>
    <t>[RNF04]</t>
  </si>
  <si>
    <t>Validação de Dados</t>
  </si>
  <si>
    <t>Validação de CPF/CNPJ, e-mail e formatos antes de salvar.</t>
  </si>
  <si>
    <t>[RNF05]</t>
  </si>
  <si>
    <t>Backup Automático</t>
  </si>
  <si>
    <t>Backup diário automático da base com opção de restauração.</t>
  </si>
  <si>
    <t>[RBF06]</t>
  </si>
  <si>
    <t>Interface Responsiva</t>
  </si>
  <si>
    <t>Interface adaptável para desktop, tablet e smartphone.</t>
  </si>
  <si>
    <t>[RNF07]</t>
  </si>
  <si>
    <t>Tempo de Resposta</t>
  </si>
  <si>
    <t>Consultas e operações com tempo de resposta até 2 segundos.</t>
  </si>
  <si>
    <t>[RNF08]</t>
  </si>
  <si>
    <t>Estrutura Modular</t>
  </si>
  <si>
    <t>Arquitetura modular para permitir evolução e novos módulos.</t>
  </si>
  <si>
    <t>Fatores de Complexidade</t>
  </si>
  <si>
    <t>Influência Tecnológica</t>
  </si>
  <si>
    <t>Descrição</t>
  </si>
  <si>
    <t>Influência</t>
  </si>
  <si>
    <t>T01</t>
  </si>
  <si>
    <t>Sistemas Distribuídos</t>
  </si>
  <si>
    <t>T02</t>
  </si>
  <si>
    <t>Tempo de resposta</t>
  </si>
  <si>
    <t>T03</t>
  </si>
  <si>
    <t>Grau de escolaridade do usuário final</t>
  </si>
  <si>
    <t>T04</t>
  </si>
  <si>
    <t>Processamento interno complexo</t>
  </si>
  <si>
    <t>T05</t>
  </si>
  <si>
    <t>Reusabilidade do código em outras aplicações</t>
  </si>
  <si>
    <t>T06</t>
  </si>
  <si>
    <t>Facilidade de instalação</t>
  </si>
  <si>
    <t>T07</t>
  </si>
  <si>
    <t>Usabilidade (facilidade operacional)</t>
  </si>
  <si>
    <t>T08</t>
  </si>
  <si>
    <t>Portabilidade</t>
  </si>
  <si>
    <t>T09</t>
  </si>
  <si>
    <t>Facilidade de manutenção</t>
  </si>
  <si>
    <t>T10</t>
  </si>
  <si>
    <t>Concorrência</t>
  </si>
  <si>
    <t>T11</t>
  </si>
  <si>
    <t>Características especiais de segurança</t>
  </si>
  <si>
    <t>T12</t>
  </si>
  <si>
    <t>Acesso direto para terceiros</t>
  </si>
  <si>
    <t>T13</t>
  </si>
  <si>
    <t>Facilidades especiais de treinamento</t>
  </si>
  <si>
    <t>Fator de Complexidade Técnica</t>
  </si>
  <si>
    <t>Influência Ambiental</t>
  </si>
  <si>
    <t>F01</t>
  </si>
  <si>
    <t>Familiaridade com o Processo de Desenvolvimento de Software</t>
  </si>
  <si>
    <t>F02</t>
  </si>
  <si>
    <t>Experiência na Aplicação</t>
  </si>
  <si>
    <t>F03</t>
  </si>
  <si>
    <t>Experiência em Programação Orientada a Objetos</t>
  </si>
  <si>
    <t>F04</t>
  </si>
  <si>
    <t>Capacidade do Líder de Projeto</t>
  </si>
  <si>
    <t>F05</t>
  </si>
  <si>
    <t>Motivação</t>
  </si>
  <si>
    <t>F06</t>
  </si>
  <si>
    <t>Requisitos estáveis</t>
  </si>
  <si>
    <t>F07</t>
  </si>
  <si>
    <t>Trabalhadores com dedicação parcial</t>
  </si>
  <si>
    <t>F08</t>
  </si>
  <si>
    <t>Dificuldade da Linguagem de Programação</t>
  </si>
  <si>
    <t>Fator de Complexidade Ambiental</t>
  </si>
  <si>
    <t>Base histórica de Projetos</t>
  </si>
  <si>
    <t>Projetos</t>
  </si>
  <si>
    <t>Tamanho</t>
  </si>
  <si>
    <t>Horas Reais</t>
  </si>
  <si>
    <t>Prospecção</t>
  </si>
  <si>
    <t>Análise e Projeto</t>
  </si>
  <si>
    <t>Planejamento</t>
  </si>
  <si>
    <t>Desenvolvimento</t>
  </si>
  <si>
    <t>Fechamento</t>
  </si>
  <si>
    <t>Mon.Controle</t>
  </si>
  <si>
    <t>Cont. Mud.</t>
  </si>
  <si>
    <t>Produtividade</t>
  </si>
  <si>
    <t>Projeto 01</t>
  </si>
  <si>
    <t>Projeto 02</t>
  </si>
  <si>
    <t>Projeto 03</t>
  </si>
  <si>
    <t>Projeto 04</t>
  </si>
  <si>
    <t>Total de horas por fase</t>
  </si>
  <si>
    <t>Produtividade média</t>
  </si>
  <si>
    <t>% de esforço por fases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</si>
</sst>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&quot;UC&quot;00#"/>
  </numFmts>
  <fonts count="18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2"/>
      <color theme="1"/>
      <name val="Arial"/>
    </font>
    <font>
      <sz val="10"/>
      <name val="Arial"/>
    </font>
    <font>
      <sz val="12"/>
      <color theme="1"/>
      <name val="Arial"/>
    </font>
    <font>
      <b/>
      <sz val="10"/>
      <color theme="1"/>
      <name val="Arial"/>
    </font>
    <font>
      <sz val="10"/>
      <color rgb="FF0000FF"/>
      <name val="Arial"/>
    </font>
    <font>
      <sz val="10"/>
      <color rgb="FFFF0000"/>
      <name val="Arial"/>
    </font>
    <font>
      <u/>
      <sz val="10"/>
      <color theme="1"/>
      <name val="Arial"/>
    </font>
    <font>
      <u/>
      <sz val="10"/>
      <color theme="1"/>
      <name val="Arial"/>
    </font>
    <font>
      <b/>
      <sz val="10"/>
      <color theme="1"/>
      <name val="Arial"/>
      <scheme val="minor"/>
    </font>
    <font>
      <sz val="11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scheme val="minor"/>
    </font>
    <font>
      <b/>
      <i/>
      <sz val="14"/>
      <color theme="1"/>
      <name val="Arial"/>
    </font>
    <font>
      <b/>
      <i/>
      <sz val="12"/>
      <color theme="1"/>
      <name val="Arial"/>
    </font>
    <font>
      <b/>
      <sz val="10"/>
      <color rgb="FFFFFFFF"/>
      <name val="Arial"/>
    </font>
    <font>
      <sz val="10"/>
      <color rgb="FFFFFFFF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9CCFF"/>
        <bgColor rgb="FF99CCFF"/>
      </patternFill>
    </fill>
    <fill>
      <patternFill patternType="solid">
        <fgColor rgb="FFCCFFFF"/>
        <bgColor rgb="FFCCFFFF"/>
      </patternFill>
    </fill>
    <fill>
      <patternFill patternType="solid">
        <fgColor rgb="FF333399"/>
        <bgColor rgb="FF333399"/>
      </patternFill>
    </fill>
    <fill>
      <patternFill patternType="solid">
        <fgColor rgb="FF003366"/>
        <bgColor rgb="FF003366"/>
      </patternFill>
    </fill>
  </fills>
  <borders count="77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6" fillId="2" borderId="1" xfId="0" applyFont="1" applyFill="1" applyBorder="1"/>
    <xf numFmtId="0" fontId="7" fillId="2" borderId="1" xfId="0" applyFont="1" applyFill="1" applyBorder="1"/>
    <xf numFmtId="0" fontId="5" fillId="3" borderId="15" xfId="0" applyFont="1" applyFill="1" applyBorder="1" applyAlignment="1">
      <alignment horizontal="center"/>
    </xf>
    <xf numFmtId="0" fontId="5" fillId="2" borderId="1" xfId="0" applyFont="1" applyFill="1" applyBorder="1"/>
    <xf numFmtId="0" fontId="1" fillId="2" borderId="19" xfId="0" applyFont="1" applyFill="1" applyBorder="1" applyAlignment="1">
      <alignment horizontal="center"/>
    </xf>
    <xf numFmtId="2" fontId="1" fillId="2" borderId="20" xfId="0" applyNumberFormat="1" applyFont="1" applyFill="1" applyBorder="1" applyAlignment="1">
      <alignment horizontal="center"/>
    </xf>
    <xf numFmtId="164" fontId="1" fillId="0" borderId="21" xfId="0" applyNumberFormat="1" applyFont="1" applyBorder="1" applyAlignment="1">
      <alignment horizontal="center"/>
    </xf>
    <xf numFmtId="0" fontId="1" fillId="2" borderId="1" xfId="0" applyFont="1" applyFill="1" applyBorder="1"/>
    <xf numFmtId="165" fontId="1" fillId="2" borderId="25" xfId="0" applyNumberFormat="1" applyFont="1" applyFill="1" applyBorder="1" applyAlignment="1">
      <alignment horizontal="center"/>
    </xf>
    <xf numFmtId="2" fontId="1" fillId="2" borderId="29" xfId="0" applyNumberFormat="1" applyFont="1" applyFill="1" applyBorder="1" applyAlignment="1">
      <alignment horizontal="center"/>
    </xf>
    <xf numFmtId="164" fontId="1" fillId="0" borderId="30" xfId="0" applyNumberFormat="1" applyFont="1" applyBorder="1" applyAlignment="1">
      <alignment horizontal="center"/>
    </xf>
    <xf numFmtId="10" fontId="1" fillId="0" borderId="30" xfId="0" applyNumberFormat="1" applyFont="1" applyBorder="1" applyAlignment="1">
      <alignment horizontal="center"/>
    </xf>
    <xf numFmtId="0" fontId="5" fillId="2" borderId="37" xfId="0" applyFont="1" applyFill="1" applyBorder="1"/>
    <xf numFmtId="165" fontId="5" fillId="2" borderId="38" xfId="0" applyNumberFormat="1" applyFont="1" applyFill="1" applyBorder="1" applyAlignment="1">
      <alignment horizontal="center"/>
    </xf>
    <xf numFmtId="164" fontId="8" fillId="2" borderId="39" xfId="0" applyNumberFormat="1" applyFont="1" applyFill="1" applyBorder="1" applyAlignment="1">
      <alignment horizontal="center"/>
    </xf>
    <xf numFmtId="0" fontId="2" fillId="2" borderId="1" xfId="0" applyFont="1" applyFill="1" applyBorder="1"/>
    <xf numFmtId="0" fontId="5" fillId="2" borderId="43" xfId="0" applyFont="1" applyFill="1" applyBorder="1"/>
    <xf numFmtId="0" fontId="5" fillId="2" borderId="44" xfId="0" applyFont="1" applyFill="1" applyBorder="1" applyAlignment="1">
      <alignment horizontal="center"/>
    </xf>
    <xf numFmtId="0" fontId="5" fillId="2" borderId="15" xfId="0" applyFont="1" applyFill="1" applyBorder="1"/>
    <xf numFmtId="0" fontId="1" fillId="2" borderId="45" xfId="0" applyFont="1" applyFill="1" applyBorder="1" applyAlignment="1">
      <alignment horizontal="center"/>
    </xf>
    <xf numFmtId="0" fontId="1" fillId="2" borderId="46" xfId="0" applyFont="1" applyFill="1" applyBorder="1" applyAlignment="1">
      <alignment horizontal="center"/>
    </xf>
    <xf numFmtId="0" fontId="1" fillId="2" borderId="47" xfId="0" applyFont="1" applyFill="1" applyBorder="1" applyAlignment="1">
      <alignment horizontal="center"/>
    </xf>
    <xf numFmtId="0" fontId="1" fillId="2" borderId="48" xfId="0" applyFont="1" applyFill="1" applyBorder="1" applyAlignment="1">
      <alignment horizontal="center"/>
    </xf>
    <xf numFmtId="0" fontId="1" fillId="2" borderId="49" xfId="0" applyFont="1" applyFill="1" applyBorder="1" applyAlignment="1">
      <alignment horizontal="center"/>
    </xf>
    <xf numFmtId="0" fontId="1" fillId="2" borderId="50" xfId="0" applyFont="1" applyFill="1" applyBorder="1" applyAlignment="1">
      <alignment horizontal="center"/>
    </xf>
    <xf numFmtId="0" fontId="1" fillId="2" borderId="51" xfId="0" applyFont="1" applyFill="1" applyBorder="1" applyAlignment="1">
      <alignment horizontal="center"/>
    </xf>
    <xf numFmtId="0" fontId="1" fillId="2" borderId="52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5" fillId="2" borderId="53" xfId="0" applyFont="1" applyFill="1" applyBorder="1"/>
    <xf numFmtId="0" fontId="5" fillId="2" borderId="54" xfId="0" applyFont="1" applyFill="1" applyBorder="1" applyAlignment="1">
      <alignment horizontal="center"/>
    </xf>
    <xf numFmtId="0" fontId="5" fillId="2" borderId="49" xfId="0" applyFont="1" applyFill="1" applyBorder="1"/>
    <xf numFmtId="0" fontId="1" fillId="2" borderId="49" xfId="0" applyFont="1" applyFill="1" applyBorder="1"/>
    <xf numFmtId="0" fontId="1" fillId="0" borderId="49" xfId="0" applyFont="1" applyBorder="1"/>
    <xf numFmtId="0" fontId="9" fillId="2" borderId="1" xfId="0" applyFont="1" applyFill="1" applyBorder="1"/>
    <xf numFmtId="0" fontId="5" fillId="2" borderId="55" xfId="0" applyFont="1" applyFill="1" applyBorder="1" applyAlignment="1">
      <alignment horizontal="center"/>
    </xf>
    <xf numFmtId="0" fontId="5" fillId="2" borderId="56" xfId="0" applyFont="1" applyFill="1" applyBorder="1" applyAlignment="1">
      <alignment horizontal="center"/>
    </xf>
    <xf numFmtId="0" fontId="5" fillId="2" borderId="43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1" fillId="2" borderId="57" xfId="0" applyFont="1" applyFill="1" applyBorder="1" applyAlignment="1">
      <alignment horizontal="center"/>
    </xf>
    <xf numFmtId="0" fontId="1" fillId="2" borderId="58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55" xfId="0" applyFont="1" applyFill="1" applyBorder="1" applyAlignment="1">
      <alignment horizontal="center"/>
    </xf>
    <xf numFmtId="0" fontId="5" fillId="2" borderId="59" xfId="0" applyFont="1" applyFill="1" applyBorder="1" applyAlignment="1">
      <alignment horizontal="center"/>
    </xf>
    <xf numFmtId="0" fontId="10" fillId="2" borderId="49" xfId="0" applyFont="1" applyFill="1" applyBorder="1"/>
    <xf numFmtId="0" fontId="10" fillId="2" borderId="49" xfId="0" applyFont="1" applyFill="1" applyBorder="1" applyAlignment="1">
      <alignment horizontal="left"/>
    </xf>
    <xf numFmtId="166" fontId="11" fillId="0" borderId="49" xfId="0" applyNumberFormat="1" applyFont="1" applyBorder="1"/>
    <xf numFmtId="0" fontId="11" fillId="0" borderId="49" xfId="0" applyFont="1" applyBorder="1"/>
    <xf numFmtId="0" fontId="11" fillId="0" borderId="49" xfId="0" applyFont="1" applyBorder="1" applyAlignment="1">
      <alignment horizontal="center"/>
    </xf>
    <xf numFmtId="0" fontId="12" fillId="2" borderId="49" xfId="0" applyFont="1" applyFill="1" applyBorder="1" applyAlignment="1">
      <alignment horizontal="center"/>
    </xf>
    <xf numFmtId="166" fontId="12" fillId="2" borderId="49" xfId="0" applyNumberFormat="1" applyFont="1" applyFill="1" applyBorder="1"/>
    <xf numFmtId="0" fontId="12" fillId="2" borderId="49" xfId="0" applyFont="1" applyFill="1" applyBorder="1"/>
    <xf numFmtId="0" fontId="13" fillId="0" borderId="49" xfId="0" applyFont="1" applyBorder="1"/>
    <xf numFmtId="0" fontId="5" fillId="2" borderId="63" xfId="0" applyFont="1" applyFill="1" applyBorder="1"/>
    <xf numFmtId="0" fontId="5" fillId="2" borderId="64" xfId="0" applyFont="1" applyFill="1" applyBorder="1" applyAlignment="1">
      <alignment horizontal="center"/>
    </xf>
    <xf numFmtId="0" fontId="5" fillId="2" borderId="63" xfId="0" applyFont="1" applyFill="1" applyBorder="1" applyAlignment="1">
      <alignment horizontal="center"/>
    </xf>
    <xf numFmtId="0" fontId="5" fillId="4" borderId="49" xfId="0" applyFont="1" applyFill="1" applyBorder="1" applyAlignment="1">
      <alignment horizontal="center"/>
    </xf>
    <xf numFmtId="0" fontId="5" fillId="4" borderId="49" xfId="0" applyFont="1" applyFill="1" applyBorder="1"/>
    <xf numFmtId="0" fontId="5" fillId="2" borderId="49" xfId="0" applyFont="1" applyFill="1" applyBorder="1" applyAlignment="1">
      <alignment horizontal="center"/>
    </xf>
    <xf numFmtId="0" fontId="1" fillId="3" borderId="67" xfId="0" applyFont="1" applyFill="1" applyBorder="1"/>
    <xf numFmtId="0" fontId="1" fillId="3" borderId="68" xfId="0" applyFont="1" applyFill="1" applyBorder="1"/>
    <xf numFmtId="0" fontId="5" fillId="4" borderId="46" xfId="0" applyFont="1" applyFill="1" applyBorder="1" applyAlignment="1">
      <alignment horizontal="center"/>
    </xf>
    <xf numFmtId="0" fontId="15" fillId="2" borderId="1" xfId="0" applyFont="1" applyFill="1" applyBorder="1"/>
    <xf numFmtId="0" fontId="16" fillId="5" borderId="70" xfId="0" applyFont="1" applyFill="1" applyBorder="1"/>
    <xf numFmtId="0" fontId="16" fillId="5" borderId="71" xfId="0" applyFont="1" applyFill="1" applyBorder="1"/>
    <xf numFmtId="0" fontId="16" fillId="5" borderId="72" xfId="0" applyFont="1" applyFill="1" applyBorder="1"/>
    <xf numFmtId="0" fontId="16" fillId="5" borderId="73" xfId="0" applyFont="1" applyFill="1" applyBorder="1"/>
    <xf numFmtId="0" fontId="1" fillId="2" borderId="57" xfId="0" applyFont="1" applyFill="1" applyBorder="1"/>
    <xf numFmtId="0" fontId="1" fillId="2" borderId="20" xfId="0" applyFont="1" applyFill="1" applyBorder="1" applyAlignment="1">
      <alignment horizontal="center"/>
    </xf>
    <xf numFmtId="165" fontId="1" fillId="2" borderId="19" xfId="0" applyNumberFormat="1" applyFont="1" applyFill="1" applyBorder="1" applyAlignment="1">
      <alignment horizontal="center"/>
    </xf>
    <xf numFmtId="0" fontId="1" fillId="2" borderId="74" xfId="0" applyFont="1" applyFill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2" borderId="48" xfId="0" applyFont="1" applyFill="1" applyBorder="1"/>
    <xf numFmtId="165" fontId="1" fillId="2" borderId="50" xfId="0" applyNumberFormat="1" applyFont="1" applyFill="1" applyBorder="1" applyAlignment="1">
      <alignment horizontal="center"/>
    </xf>
    <xf numFmtId="0" fontId="1" fillId="2" borderId="51" xfId="0" applyFont="1" applyFill="1" applyBorder="1"/>
    <xf numFmtId="0" fontId="1" fillId="2" borderId="38" xfId="0" applyFont="1" applyFill="1" applyBorder="1" applyAlignment="1">
      <alignment horizontal="center"/>
    </xf>
    <xf numFmtId="0" fontId="1" fillId="2" borderId="4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165" fontId="16" fillId="5" borderId="54" xfId="0" applyNumberFormat="1" applyFont="1" applyFill="1" applyBorder="1" applyAlignment="1">
      <alignment horizontal="center"/>
    </xf>
    <xf numFmtId="0" fontId="16" fillId="5" borderId="76" xfId="0" applyFont="1" applyFill="1" applyBorder="1"/>
    <xf numFmtId="0" fontId="17" fillId="5" borderId="76" xfId="0" applyFont="1" applyFill="1" applyBorder="1"/>
    <xf numFmtId="0" fontId="16" fillId="5" borderId="54" xfId="0" applyFont="1" applyFill="1" applyBorder="1" applyAlignment="1">
      <alignment horizontal="center"/>
    </xf>
    <xf numFmtId="164" fontId="16" fillId="5" borderId="54" xfId="0" applyNumberFormat="1" applyFont="1" applyFill="1" applyBorder="1" applyAlignment="1">
      <alignment horizontal="center"/>
    </xf>
    <xf numFmtId="164" fontId="5" fillId="2" borderId="1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2" fillId="2" borderId="8" xfId="0" applyFont="1" applyFill="1" applyBorder="1" applyAlignment="1">
      <alignment horizontal="left" vertical="center"/>
    </xf>
    <xf numFmtId="0" fontId="3" fillId="0" borderId="9" xfId="0" applyFont="1" applyBorder="1"/>
    <xf numFmtId="0" fontId="4" fillId="2" borderId="8" xfId="0" applyFont="1" applyFill="1" applyBorder="1" applyAlignment="1">
      <alignment horizontal="left" vertical="center"/>
    </xf>
    <xf numFmtId="0" fontId="3" fillId="0" borderId="10" xfId="0" applyFont="1" applyBorder="1"/>
    <xf numFmtId="0" fontId="5" fillId="2" borderId="8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7" fillId="2" borderId="8" xfId="0" applyFont="1" applyFill="1" applyBorder="1"/>
    <xf numFmtId="0" fontId="1" fillId="2" borderId="26" xfId="0" applyFont="1" applyFill="1" applyBorder="1" applyAlignment="1">
      <alignment horizontal="left"/>
    </xf>
    <xf numFmtId="0" fontId="3" fillId="0" borderId="27" xfId="0" applyFont="1" applyBorder="1"/>
    <xf numFmtId="0" fontId="3" fillId="0" borderId="28" xfId="0" applyFont="1" applyBorder="1"/>
    <xf numFmtId="0" fontId="1" fillId="2" borderId="34" xfId="0" applyFont="1" applyFill="1" applyBorder="1" applyAlignment="1">
      <alignment horizontal="left"/>
    </xf>
    <xf numFmtId="0" fontId="3" fillId="0" borderId="35" xfId="0" applyFont="1" applyBorder="1"/>
    <xf numFmtId="0" fontId="3" fillId="0" borderId="36" xfId="0" applyFont="1" applyBorder="1"/>
    <xf numFmtId="0" fontId="5" fillId="2" borderId="22" xfId="0" applyFont="1" applyFill="1" applyBorder="1" applyAlignment="1">
      <alignment horizontal="center"/>
    </xf>
    <xf numFmtId="0" fontId="3" fillId="0" borderId="23" xfId="0" applyFont="1" applyBorder="1"/>
    <xf numFmtId="0" fontId="3" fillId="0" borderId="24" xfId="0" applyFont="1" applyBorder="1"/>
    <xf numFmtId="0" fontId="1" fillId="2" borderId="8" xfId="0" applyFont="1" applyFill="1" applyBorder="1" applyAlignment="1">
      <alignment horizontal="left"/>
    </xf>
    <xf numFmtId="0" fontId="1" fillId="2" borderId="8" xfId="0" applyFont="1" applyFill="1" applyBorder="1" applyAlignment="1">
      <alignment horizontal="left" wrapText="1"/>
    </xf>
    <xf numFmtId="0" fontId="5" fillId="2" borderId="8" xfId="0" applyFont="1" applyFill="1" applyBorder="1" applyAlignment="1">
      <alignment horizontal="left"/>
    </xf>
    <xf numFmtId="0" fontId="5" fillId="3" borderId="11" xfId="0" applyFont="1" applyFill="1" applyBorder="1" applyAlignment="1">
      <alignment horizontal="center"/>
    </xf>
    <xf numFmtId="0" fontId="3" fillId="0" borderId="12" xfId="0" applyFont="1" applyBorder="1"/>
    <xf numFmtId="0" fontId="3" fillId="0" borderId="13" xfId="0" applyFont="1" applyBorder="1"/>
    <xf numFmtId="0" fontId="5" fillId="3" borderId="11" xfId="0" applyFont="1" applyFill="1" applyBorder="1" applyAlignment="1">
      <alignment horizontal="left"/>
    </xf>
    <xf numFmtId="0" fontId="3" fillId="0" borderId="14" xfId="0" applyFont="1" applyBorder="1"/>
    <xf numFmtId="0" fontId="1" fillId="2" borderId="16" xfId="0" applyFont="1" applyFill="1" applyBorder="1" applyAlignment="1">
      <alignment horizontal="left"/>
    </xf>
    <xf numFmtId="0" fontId="3" fillId="0" borderId="17" xfId="0" applyFont="1" applyBorder="1"/>
    <xf numFmtId="0" fontId="3" fillId="0" borderId="18" xfId="0" applyFont="1" applyBorder="1"/>
    <xf numFmtId="0" fontId="1" fillId="2" borderId="22" xfId="0" applyFont="1" applyFill="1" applyBorder="1" applyAlignment="1">
      <alignment horizontal="left"/>
    </xf>
    <xf numFmtId="0" fontId="1" fillId="2" borderId="31" xfId="0" applyFont="1" applyFill="1" applyBorder="1" applyAlignment="1">
      <alignment horizontal="left"/>
    </xf>
    <xf numFmtId="0" fontId="3" fillId="0" borderId="32" xfId="0" applyFont="1" applyBorder="1"/>
    <xf numFmtId="0" fontId="3" fillId="0" borderId="33" xfId="0" applyFont="1" applyBorder="1"/>
    <xf numFmtId="0" fontId="2" fillId="2" borderId="40" xfId="0" applyFont="1" applyFill="1" applyBorder="1" applyAlignment="1">
      <alignment horizontal="center"/>
    </xf>
    <xf numFmtId="0" fontId="3" fillId="0" borderId="41" xfId="0" applyFont="1" applyBorder="1"/>
    <xf numFmtId="0" fontId="3" fillId="0" borderId="42" xfId="0" applyFont="1" applyBorder="1"/>
    <xf numFmtId="0" fontId="1" fillId="2" borderId="60" xfId="0" applyFont="1" applyFill="1" applyBorder="1" applyAlignment="1">
      <alignment horizontal="center"/>
    </xf>
    <xf numFmtId="0" fontId="3" fillId="0" borderId="61" xfId="0" applyFont="1" applyBorder="1"/>
    <xf numFmtId="0" fontId="3" fillId="0" borderId="62" xfId="0" applyFont="1" applyBorder="1"/>
    <xf numFmtId="0" fontId="1" fillId="2" borderId="65" xfId="0" applyFont="1" applyFill="1" applyBorder="1" applyAlignment="1">
      <alignment horizontal="left"/>
    </xf>
    <xf numFmtId="0" fontId="5" fillId="2" borderId="65" xfId="0" applyFont="1" applyFill="1" applyBorder="1" applyAlignment="1">
      <alignment horizontal="right"/>
    </xf>
    <xf numFmtId="0" fontId="5" fillId="3" borderId="65" xfId="0" applyFont="1" applyFill="1" applyBorder="1" applyAlignment="1">
      <alignment horizontal="left"/>
    </xf>
    <xf numFmtId="0" fontId="3" fillId="0" borderId="66" xfId="0" applyFont="1" applyBorder="1"/>
    <xf numFmtId="0" fontId="5" fillId="4" borderId="69" xfId="0" applyFont="1" applyFill="1" applyBorder="1" applyAlignment="1">
      <alignment horizontal="left"/>
    </xf>
    <xf numFmtId="0" fontId="14" fillId="2" borderId="40" xfId="0" applyFont="1" applyFill="1" applyBorder="1" applyAlignment="1">
      <alignment horizontal="center"/>
    </xf>
    <xf numFmtId="0" fontId="16" fillId="6" borderId="7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Z1000"/>
  <sheetViews>
    <sheetView tabSelected="1" workbookViewId="0">
      <selection activeCell="P11" sqref="P11"/>
    </sheetView>
  </sheetViews>
  <sheetFormatPr defaultColWidth="12.6640625" defaultRowHeight="15" customHeight="1" x14ac:dyDescent="0.25"/>
  <cols>
    <col min="1" max="1" width="6.21875" customWidth="1"/>
    <col min="2" max="3" width="9.109375" customWidth="1"/>
    <col min="4" max="4" width="17.77734375" customWidth="1"/>
    <col min="5" max="8" width="9.109375" customWidth="1"/>
    <col min="9" max="9" width="11.44140625" customWidth="1"/>
    <col min="10" max="10" width="10.6640625" customWidth="1"/>
    <col min="11" max="13" width="9.109375" customWidth="1"/>
    <col min="14" max="26" width="8.6640625" customWidth="1"/>
  </cols>
  <sheetData>
    <row r="1" spans="1:26" ht="12.75" customHeight="1" x14ac:dyDescent="0.25"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25"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5">
      <c r="A3" s="2"/>
      <c r="B3" s="88" t="s">
        <v>0</v>
      </c>
      <c r="C3" s="89"/>
      <c r="D3" s="89"/>
      <c r="E3" s="89"/>
      <c r="F3" s="89"/>
      <c r="G3" s="89"/>
      <c r="H3" s="89"/>
      <c r="I3" s="89"/>
      <c r="J3" s="90"/>
      <c r="K3" s="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25">
      <c r="A4" s="2"/>
      <c r="B4" s="91"/>
      <c r="C4" s="92"/>
      <c r="D4" s="92"/>
      <c r="E4" s="92"/>
      <c r="F4" s="92"/>
      <c r="G4" s="92"/>
      <c r="H4" s="92"/>
      <c r="I4" s="92"/>
      <c r="J4" s="93"/>
      <c r="K4" s="2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9.5" customHeight="1" x14ac:dyDescent="0.25">
      <c r="A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 x14ac:dyDescent="0.25">
      <c r="A6" s="1"/>
      <c r="B6" s="94" t="s">
        <v>1</v>
      </c>
      <c r="C6" s="95"/>
      <c r="D6" s="96" t="s">
        <v>2</v>
      </c>
      <c r="E6" s="97"/>
      <c r="F6" s="97"/>
      <c r="G6" s="97"/>
      <c r="H6" s="97"/>
      <c r="I6" s="95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 x14ac:dyDescent="0.25">
      <c r="A7" s="1"/>
      <c r="B7" s="98" t="s">
        <v>3</v>
      </c>
      <c r="C7" s="95"/>
      <c r="D7" s="99" t="s">
        <v>4</v>
      </c>
      <c r="E7" s="97"/>
      <c r="F7" s="97"/>
      <c r="G7" s="97"/>
      <c r="H7" s="97"/>
      <c r="I7" s="95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25">
      <c r="A8" s="1"/>
      <c r="B8" s="112" t="s">
        <v>5</v>
      </c>
      <c r="C8" s="95"/>
      <c r="D8" s="3" t="s">
        <v>6</v>
      </c>
      <c r="E8" s="3"/>
      <c r="F8" s="98" t="s">
        <v>7</v>
      </c>
      <c r="G8" s="95"/>
      <c r="H8" s="3" t="s">
        <v>8</v>
      </c>
      <c r="I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25">
      <c r="A9" s="1"/>
      <c r="C9" s="4"/>
      <c r="D9" s="100" t="s">
        <v>9</v>
      </c>
      <c r="E9" s="97"/>
      <c r="F9" s="97"/>
      <c r="G9" s="97"/>
      <c r="H9" s="97"/>
      <c r="I9" s="95"/>
      <c r="J9" s="5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25">
      <c r="A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25">
      <c r="A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 x14ac:dyDescent="0.25">
      <c r="A12" s="1"/>
      <c r="B12" s="113" t="s">
        <v>10</v>
      </c>
      <c r="C12" s="114"/>
      <c r="D12" s="114"/>
      <c r="E12" s="115"/>
      <c r="G12" s="116" t="s">
        <v>11</v>
      </c>
      <c r="H12" s="114"/>
      <c r="I12" s="117"/>
      <c r="J12" s="6" t="s">
        <v>12</v>
      </c>
      <c r="K12" s="6" t="s">
        <v>13</v>
      </c>
      <c r="M12" s="7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 x14ac:dyDescent="0.25">
      <c r="A13" s="1"/>
      <c r="B13" s="118" t="s">
        <v>14</v>
      </c>
      <c r="C13" s="119"/>
      <c r="D13" s="120"/>
      <c r="E13" s="8">
        <f>(Atores!D10+'RFS ou RFC'!D10)*Fatores!E22*Fatores!G36</f>
        <v>96.500600000000006</v>
      </c>
      <c r="G13" s="118" t="s">
        <v>15</v>
      </c>
      <c r="H13" s="119"/>
      <c r="I13" s="120"/>
      <c r="J13" s="9">
        <f t="shared" ref="J13:J20" si="0">$E$13*$E$14*K13</f>
        <v>13.510084000000001</v>
      </c>
      <c r="K13" s="10">
        <f>dadoshistoricos!E31</f>
        <v>4.6666666666666669E-2</v>
      </c>
      <c r="M13" s="1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 x14ac:dyDescent="0.25">
      <c r="A14" s="1"/>
      <c r="B14" s="121" t="s">
        <v>16</v>
      </c>
      <c r="C14" s="108"/>
      <c r="D14" s="109"/>
      <c r="E14" s="12">
        <v>3</v>
      </c>
      <c r="G14" s="101" t="s">
        <v>17</v>
      </c>
      <c r="H14" s="102"/>
      <c r="I14" s="103"/>
      <c r="J14" s="13">
        <f t="shared" si="0"/>
        <v>47.606962666666668</v>
      </c>
      <c r="K14" s="14">
        <f>dadoshistoricos!F31*0.8</f>
        <v>0.16444444444444445</v>
      </c>
      <c r="M14" s="1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25">
      <c r="A15" s="1"/>
      <c r="B15" s="122"/>
      <c r="C15" s="123"/>
      <c r="D15" s="124"/>
      <c r="G15" s="101" t="s">
        <v>18</v>
      </c>
      <c r="H15" s="102"/>
      <c r="I15" s="103"/>
      <c r="J15" s="13">
        <f t="shared" si="0"/>
        <v>11.901740666666667</v>
      </c>
      <c r="K15" s="15">
        <f>dadoshistoricos!F31*0.2</f>
        <v>4.1111111111111112E-2</v>
      </c>
      <c r="M15" s="1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 x14ac:dyDescent="0.25">
      <c r="A16" s="1"/>
      <c r="B16" s="110"/>
      <c r="C16" s="97"/>
      <c r="D16" s="95"/>
      <c r="G16" s="101" t="s">
        <v>19</v>
      </c>
      <c r="H16" s="102"/>
      <c r="I16" s="103"/>
      <c r="J16" s="13">
        <f t="shared" si="0"/>
        <v>19.30012</v>
      </c>
      <c r="K16" s="15">
        <f>dadoshistoricos!G31</f>
        <v>6.6666666666666666E-2</v>
      </c>
      <c r="L16" s="11"/>
      <c r="M16" s="1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x14ac:dyDescent="0.25">
      <c r="A17" s="1"/>
      <c r="G17" s="104" t="s">
        <v>20</v>
      </c>
      <c r="H17" s="105"/>
      <c r="I17" s="106"/>
      <c r="J17" s="13">
        <f t="shared" si="0"/>
        <v>160.83433333333335</v>
      </c>
      <c r="K17" s="15">
        <f>dadoshistoricos!H31</f>
        <v>0.55555555555555558</v>
      </c>
      <c r="L17" s="11"/>
      <c r="M17" s="7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25">
      <c r="A18" s="1"/>
      <c r="G18" s="104" t="s">
        <v>21</v>
      </c>
      <c r="H18" s="105"/>
      <c r="I18" s="106"/>
      <c r="J18" s="13">
        <f t="shared" si="0"/>
        <v>6.4333733333333338</v>
      </c>
      <c r="K18" s="15">
        <f>dadoshistoricos!I31</f>
        <v>2.2222222222222223E-2</v>
      </c>
      <c r="L18" s="1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25">
      <c r="A19" s="1"/>
      <c r="E19" s="11"/>
      <c r="F19" s="11"/>
      <c r="G19" s="104" t="s">
        <v>22</v>
      </c>
      <c r="H19" s="105"/>
      <c r="I19" s="106"/>
      <c r="J19" s="13">
        <f t="shared" si="0"/>
        <v>19.621788666666667</v>
      </c>
      <c r="K19" s="15">
        <f>dadoshistoricos!J31</f>
        <v>6.7777777777777784E-2</v>
      </c>
      <c r="L19" s="1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25">
      <c r="A20" s="1"/>
      <c r="B20" s="16" t="s">
        <v>23</v>
      </c>
      <c r="C20" s="16"/>
      <c r="D20" s="16"/>
      <c r="E20" s="16"/>
      <c r="F20" s="16"/>
      <c r="G20" s="104" t="s">
        <v>24</v>
      </c>
      <c r="H20" s="105"/>
      <c r="I20" s="106"/>
      <c r="J20" s="13">
        <f t="shared" si="0"/>
        <v>10.293397333333333</v>
      </c>
      <c r="K20" s="15">
        <f>dadoshistoricos!K31</f>
        <v>3.5555555555555556E-2</v>
      </c>
      <c r="L20" s="1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25">
      <c r="A21" s="1"/>
      <c r="G21" s="107" t="s">
        <v>25</v>
      </c>
      <c r="H21" s="108"/>
      <c r="I21" s="109"/>
      <c r="J21" s="17">
        <f t="shared" ref="J21:K21" si="1">SUM(J13:J20)</f>
        <v>289.5018</v>
      </c>
      <c r="K21" s="18">
        <f t="shared" si="1"/>
        <v>1</v>
      </c>
      <c r="L21" s="1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25">
      <c r="A22" s="1"/>
      <c r="B22" s="110" t="s">
        <v>26</v>
      </c>
      <c r="C22" s="97"/>
      <c r="D22" s="97"/>
      <c r="E22" s="97"/>
      <c r="F22" s="97"/>
      <c r="G22" s="97"/>
      <c r="H22" s="97"/>
      <c r="I22" s="97"/>
      <c r="J22" s="95"/>
      <c r="K22" s="1"/>
      <c r="L22" s="1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5">
      <c r="A23" s="1"/>
      <c r="B23" s="111" t="s">
        <v>27</v>
      </c>
      <c r="C23" s="97"/>
      <c r="D23" s="97"/>
      <c r="E23" s="97"/>
      <c r="F23" s="97"/>
      <c r="G23" s="97"/>
      <c r="H23" s="97"/>
      <c r="I23" s="97"/>
      <c r="J23" s="95"/>
      <c r="K23" s="1"/>
      <c r="L23" s="1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25">
      <c r="A24" s="1"/>
      <c r="B24" s="11" t="s">
        <v>28</v>
      </c>
      <c r="K24" s="1"/>
      <c r="L24" s="1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5">
      <c r="A25" s="1"/>
      <c r="B25" s="11" t="s">
        <v>29</v>
      </c>
      <c r="K25" s="1"/>
      <c r="L25" s="1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5">
      <c r="A26" s="1"/>
      <c r="K26" s="1"/>
      <c r="L26" s="1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25">
      <c r="A27" s="1"/>
      <c r="B27" s="11" t="s">
        <v>30</v>
      </c>
      <c r="K27" s="1"/>
      <c r="L27" s="1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25">
      <c r="A28" s="1"/>
      <c r="B28" s="111" t="s">
        <v>31</v>
      </c>
      <c r="C28" s="97"/>
      <c r="D28" s="97"/>
      <c r="E28" s="97"/>
      <c r="F28" s="97"/>
      <c r="G28" s="97"/>
      <c r="H28" s="97"/>
      <c r="I28" s="97"/>
      <c r="J28" s="95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3.2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6">
    <mergeCell ref="B22:J22"/>
    <mergeCell ref="B23:J23"/>
    <mergeCell ref="B28:J28"/>
    <mergeCell ref="B8:C8"/>
    <mergeCell ref="B12:E12"/>
    <mergeCell ref="G12:I12"/>
    <mergeCell ref="B13:D13"/>
    <mergeCell ref="G13:I13"/>
    <mergeCell ref="B14:D14"/>
    <mergeCell ref="B15:D15"/>
    <mergeCell ref="G18:I18"/>
    <mergeCell ref="G19:I19"/>
    <mergeCell ref="G20:I20"/>
    <mergeCell ref="G21:I21"/>
    <mergeCell ref="B16:D16"/>
    <mergeCell ref="G16:I16"/>
    <mergeCell ref="F8:G8"/>
    <mergeCell ref="D9:I9"/>
    <mergeCell ref="G14:I14"/>
    <mergeCell ref="G15:I15"/>
    <mergeCell ref="G17:I17"/>
    <mergeCell ref="B3:J4"/>
    <mergeCell ref="B6:C6"/>
    <mergeCell ref="D6:I6"/>
    <mergeCell ref="B7:C7"/>
    <mergeCell ref="D7:I7"/>
  </mergeCells>
  <pageMargins left="0.39374999999999999" right="0.39374999999999999" top="0.98402777777777795" bottom="0.9840277777777779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FF"/>
  </sheetPr>
  <dimension ref="A1:Z1000"/>
  <sheetViews>
    <sheetView workbookViewId="0"/>
  </sheetViews>
  <sheetFormatPr defaultColWidth="12.6640625" defaultRowHeight="15" customHeight="1" x14ac:dyDescent="0.25"/>
  <cols>
    <col min="1" max="1" width="9.109375" customWidth="1"/>
    <col min="2" max="2" width="29.77734375" customWidth="1"/>
    <col min="3" max="3" width="16.77734375" customWidth="1"/>
    <col min="4" max="4" width="12.77734375" customWidth="1"/>
    <col min="5" max="5" width="9.109375" customWidth="1"/>
    <col min="6" max="6" width="17.88671875" customWidth="1"/>
    <col min="7" max="7" width="4.77734375" customWidth="1"/>
    <col min="8" max="12" width="9.109375" customWidth="1"/>
    <col min="13" max="26" width="8.6640625" customWidth="1"/>
  </cols>
  <sheetData>
    <row r="1" spans="1:26" ht="12.75" customHeight="1" x14ac:dyDescent="0.2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3">
      <c r="A2" s="11"/>
      <c r="B2" s="125" t="s">
        <v>32</v>
      </c>
      <c r="C2" s="126"/>
      <c r="D2" s="127"/>
      <c r="E2" s="19"/>
      <c r="F2" s="11"/>
      <c r="G2" s="11"/>
      <c r="H2" s="11"/>
      <c r="I2" s="11"/>
      <c r="J2" s="11"/>
      <c r="K2" s="11"/>
      <c r="L2" s="1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25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 x14ac:dyDescent="0.25">
      <c r="A6" s="11"/>
      <c r="B6" s="20" t="s">
        <v>33</v>
      </c>
      <c r="C6" s="21" t="s">
        <v>34</v>
      </c>
      <c r="D6" s="22" t="s">
        <v>35</v>
      </c>
      <c r="E6" s="11"/>
      <c r="F6" s="11"/>
      <c r="G6" s="11"/>
      <c r="H6" s="11"/>
      <c r="I6" s="11"/>
      <c r="J6" s="11"/>
      <c r="K6" s="11"/>
      <c r="L6" s="1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 x14ac:dyDescent="0.25">
      <c r="A7" s="11"/>
      <c r="B7" s="23" t="s">
        <v>36</v>
      </c>
      <c r="C7" s="24">
        <v>1</v>
      </c>
      <c r="D7" s="25">
        <f>COUNTIF(Atores,B7)</f>
        <v>0</v>
      </c>
      <c r="E7" s="11"/>
      <c r="F7" s="11"/>
      <c r="G7" s="11"/>
      <c r="H7" s="11"/>
      <c r="I7" s="11"/>
      <c r="J7" s="11"/>
      <c r="K7" s="11"/>
      <c r="L7" s="1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25">
      <c r="A8" s="11"/>
      <c r="B8" s="26" t="s">
        <v>37</v>
      </c>
      <c r="C8" s="27">
        <v>2</v>
      </c>
      <c r="D8" s="28">
        <f>COUNTIF(Atores,B8)</f>
        <v>0</v>
      </c>
      <c r="E8" s="11"/>
      <c r="F8" s="11"/>
      <c r="G8" s="11"/>
      <c r="H8" s="11"/>
      <c r="I8" s="11"/>
      <c r="J8" s="11"/>
      <c r="K8" s="11"/>
      <c r="L8" s="1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25">
      <c r="A9" s="11"/>
      <c r="B9" s="29" t="s">
        <v>38</v>
      </c>
      <c r="C9" s="30">
        <v>3</v>
      </c>
      <c r="D9" s="31">
        <f>COUNTIF(Atores,B9)</f>
        <v>3</v>
      </c>
      <c r="E9" s="11"/>
      <c r="F9" s="11"/>
      <c r="G9" s="11"/>
      <c r="H9" s="11"/>
      <c r="I9" s="11"/>
      <c r="J9" s="11"/>
      <c r="K9" s="11"/>
      <c r="L9" s="1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25">
      <c r="A10" s="11"/>
      <c r="B10" s="11"/>
      <c r="C10" s="32" t="s">
        <v>39</v>
      </c>
      <c r="D10" s="33">
        <f>(C7*D7)+(C8*D8)+(C9*D9)</f>
        <v>9</v>
      </c>
      <c r="E10" s="11"/>
      <c r="F10" s="11"/>
      <c r="G10" s="11"/>
      <c r="H10" s="11"/>
      <c r="I10" s="11"/>
      <c r="J10" s="11"/>
      <c r="K10" s="11"/>
      <c r="L10" s="1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 x14ac:dyDescent="0.25">
      <c r="A12" s="1"/>
      <c r="D12" s="1"/>
      <c r="E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 x14ac:dyDescent="0.25">
      <c r="A13" s="1"/>
      <c r="B13" s="34" t="s">
        <v>40</v>
      </c>
      <c r="C13" s="34" t="s">
        <v>41</v>
      </c>
      <c r="D13" s="1"/>
      <c r="E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 x14ac:dyDescent="0.25">
      <c r="A14" s="1"/>
      <c r="B14" s="35" t="s">
        <v>42</v>
      </c>
      <c r="C14" s="27" t="s">
        <v>38</v>
      </c>
      <c r="D14" s="1"/>
      <c r="E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25">
      <c r="A15" s="1"/>
      <c r="B15" s="35" t="s">
        <v>43</v>
      </c>
      <c r="C15" s="27" t="s">
        <v>38</v>
      </c>
      <c r="D15" s="1"/>
      <c r="E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 x14ac:dyDescent="0.25">
      <c r="A16" s="1"/>
      <c r="B16" s="36" t="s">
        <v>44</v>
      </c>
      <c r="C16" s="27" t="s">
        <v>38</v>
      </c>
      <c r="D16" s="1"/>
      <c r="E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x14ac:dyDescent="0.25">
      <c r="A17" s="1"/>
      <c r="B17" s="35"/>
      <c r="C17" s="27"/>
      <c r="D17" s="1"/>
      <c r="E17" s="1"/>
      <c r="F17" s="37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25">
      <c r="A18" s="1"/>
      <c r="B18" s="38" t="s">
        <v>45</v>
      </c>
      <c r="C18" s="39">
        <f>D10</f>
        <v>9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2:D2"/>
  </mergeCells>
  <dataValidations count="1">
    <dataValidation type="list" allowBlank="1" showErrorMessage="1" sqref="C14:C17" xr:uid="{00000000-0002-0000-0100-000000000000}">
      <formula1>"Simples,Médio,Complexo"</formula1>
    </dataValidation>
  </dataValidations>
  <pageMargins left="0.78749999999999998" right="0.78749999999999998" top="0.98402777777777795" bottom="0.98402777777777795" header="0" footer="0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FF"/>
  </sheetPr>
  <dimension ref="A1:Z1010"/>
  <sheetViews>
    <sheetView workbookViewId="0"/>
  </sheetViews>
  <sheetFormatPr defaultColWidth="12.6640625" defaultRowHeight="15" customHeight="1" x14ac:dyDescent="0.25"/>
  <cols>
    <col min="1" max="1" width="8.109375" customWidth="1"/>
    <col min="2" max="2" width="43.88671875" customWidth="1"/>
    <col min="3" max="3" width="16.77734375" customWidth="1"/>
    <col min="4" max="4" width="18.109375" customWidth="1"/>
    <col min="5" max="5" width="125.109375" customWidth="1"/>
    <col min="6" max="6" width="9.33203125" customWidth="1"/>
    <col min="7" max="7" width="72" customWidth="1"/>
    <col min="8" max="14" width="9.109375" customWidth="1"/>
    <col min="15" max="15" width="8.6640625" hidden="1" customWidth="1"/>
    <col min="16" max="26" width="8.6640625" customWidth="1"/>
  </cols>
  <sheetData>
    <row r="1" spans="1:26" ht="12.75" customHeight="1" x14ac:dyDescent="0.25">
      <c r="A1" s="11"/>
      <c r="B1" s="11"/>
      <c r="C1" s="11"/>
      <c r="D1" s="11"/>
      <c r="E1" s="11"/>
      <c r="I1" s="1"/>
      <c r="J1" s="1"/>
      <c r="K1" s="1"/>
      <c r="L1" s="1"/>
      <c r="M1" s="1"/>
      <c r="N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3">
      <c r="B2" s="125" t="s">
        <v>46</v>
      </c>
      <c r="C2" s="126"/>
      <c r="D2" s="127"/>
      <c r="E2" s="19"/>
      <c r="F2" s="19"/>
      <c r="G2" s="19"/>
      <c r="I2" s="1"/>
      <c r="J2" s="1"/>
      <c r="K2" s="1"/>
      <c r="L2" s="1"/>
      <c r="M2" s="1"/>
      <c r="N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25">
      <c r="F3" s="1"/>
      <c r="G3" s="1"/>
      <c r="I3" s="1"/>
      <c r="J3" s="1"/>
      <c r="K3" s="1"/>
      <c r="L3" s="1"/>
      <c r="M3" s="1"/>
      <c r="N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25">
      <c r="F4" s="1"/>
      <c r="G4" s="1"/>
      <c r="I4" s="1"/>
      <c r="J4" s="1"/>
      <c r="K4" s="1"/>
      <c r="L4" s="1"/>
      <c r="M4" s="1"/>
      <c r="N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25">
      <c r="F5" s="1"/>
      <c r="G5" s="1"/>
      <c r="I5" s="1"/>
      <c r="J5" s="1"/>
      <c r="K5" s="1"/>
      <c r="L5" s="1"/>
      <c r="M5" s="1"/>
      <c r="N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 x14ac:dyDescent="0.25">
      <c r="B6" s="40" t="s">
        <v>47</v>
      </c>
      <c r="C6" s="21" t="s">
        <v>34</v>
      </c>
      <c r="D6" s="41" t="s">
        <v>48</v>
      </c>
      <c r="E6" s="42"/>
      <c r="F6" s="1"/>
      <c r="G6" s="1"/>
      <c r="I6" s="1"/>
      <c r="J6" s="1"/>
      <c r="K6" s="1"/>
      <c r="L6" s="1"/>
      <c r="M6" s="1"/>
      <c r="N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 x14ac:dyDescent="0.25">
      <c r="B7" s="43" t="s">
        <v>36</v>
      </c>
      <c r="C7" s="44">
        <v>3</v>
      </c>
      <c r="D7" s="8">
        <f>COUNTIF(CUC,B7)</f>
        <v>19</v>
      </c>
      <c r="E7" s="45"/>
      <c r="F7" s="1"/>
      <c r="G7" s="1"/>
      <c r="I7" s="1"/>
      <c r="J7" s="1"/>
      <c r="K7" s="1"/>
      <c r="L7" s="1"/>
      <c r="M7" s="1"/>
      <c r="N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25">
      <c r="B8" s="26" t="s">
        <v>37</v>
      </c>
      <c r="C8" s="27">
        <v>4</v>
      </c>
      <c r="D8" s="25">
        <f>COUNTIF(CUC,B8)</f>
        <v>8</v>
      </c>
      <c r="E8" s="45"/>
      <c r="F8" s="1"/>
      <c r="G8" s="1"/>
      <c r="I8" s="1"/>
      <c r="J8" s="1"/>
      <c r="K8" s="1"/>
      <c r="L8" s="1"/>
      <c r="M8" s="1"/>
      <c r="N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25">
      <c r="B9" s="29" t="s">
        <v>38</v>
      </c>
      <c r="C9" s="46">
        <v>5</v>
      </c>
      <c r="D9" s="25">
        <f>COUNTIF(CUC,B9)</f>
        <v>0</v>
      </c>
      <c r="E9" s="45"/>
      <c r="F9" s="1"/>
      <c r="G9" s="1"/>
      <c r="I9" s="1"/>
      <c r="J9" s="1"/>
      <c r="K9" s="1"/>
      <c r="L9" s="1"/>
      <c r="M9" s="1"/>
      <c r="N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25">
      <c r="C10" s="33" t="s">
        <v>49</v>
      </c>
      <c r="D10" s="47">
        <f>(C7*D7)+(C8*D8)+(C9*D9)</f>
        <v>89</v>
      </c>
      <c r="F10" s="1"/>
      <c r="G10" s="1"/>
      <c r="I10" s="1"/>
      <c r="J10" s="1"/>
      <c r="K10" s="1"/>
      <c r="L10" s="1"/>
      <c r="M10" s="1"/>
      <c r="N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25">
      <c r="A11" s="128"/>
      <c r="B11" s="129"/>
      <c r="C11" s="130"/>
      <c r="F11" s="1"/>
      <c r="G11" s="1"/>
      <c r="I11" s="1"/>
      <c r="J11" s="1"/>
      <c r="K11" s="1"/>
      <c r="L11" s="1"/>
      <c r="M11" s="1"/>
      <c r="N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 x14ac:dyDescent="0.25">
      <c r="A12" s="48" t="s">
        <v>50</v>
      </c>
      <c r="B12" s="48" t="s">
        <v>51</v>
      </c>
      <c r="C12" s="49" t="s">
        <v>52</v>
      </c>
      <c r="D12" s="48" t="s">
        <v>41</v>
      </c>
      <c r="E12" s="48" t="s">
        <v>53</v>
      </c>
      <c r="F12" s="1"/>
      <c r="G12" s="1"/>
      <c r="I12" s="1"/>
      <c r="J12" s="1"/>
      <c r="K12" s="1"/>
      <c r="L12" s="1"/>
      <c r="M12" s="1"/>
      <c r="N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 x14ac:dyDescent="0.25">
      <c r="A13" s="50" t="s">
        <v>54</v>
      </c>
      <c r="B13" s="51" t="s">
        <v>55</v>
      </c>
      <c r="C13" s="52">
        <v>2</v>
      </c>
      <c r="D13" s="53" t="str">
        <f t="shared" ref="D13:D53" si="0">IF(C13&lt;4,"Simples",(IF(C13&gt;5,"Complexo","Médio")))</f>
        <v>Simples</v>
      </c>
      <c r="E13" s="51" t="s">
        <v>56</v>
      </c>
      <c r="F13" s="1"/>
      <c r="G13" s="1"/>
      <c r="I13" s="1"/>
      <c r="J13" s="1"/>
      <c r="K13" s="1"/>
      <c r="L13" s="1"/>
      <c r="M13" s="1"/>
      <c r="N13" s="1"/>
      <c r="O13" s="11">
        <v>1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 x14ac:dyDescent="0.25">
      <c r="A14" s="50" t="s">
        <v>57</v>
      </c>
      <c r="B14" s="51" t="s">
        <v>58</v>
      </c>
      <c r="C14" s="52">
        <v>3</v>
      </c>
      <c r="D14" s="53" t="str">
        <f t="shared" si="0"/>
        <v>Simples</v>
      </c>
      <c r="E14" s="51" t="s">
        <v>59</v>
      </c>
      <c r="F14" s="1"/>
      <c r="G14" s="1"/>
      <c r="I14" s="1"/>
      <c r="J14" s="1"/>
      <c r="K14" s="1"/>
      <c r="L14" s="1"/>
      <c r="M14" s="1"/>
      <c r="N14" s="1"/>
      <c r="O14" s="11">
        <v>2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25">
      <c r="A15" s="50" t="s">
        <v>60</v>
      </c>
      <c r="B15" s="51" t="s">
        <v>61</v>
      </c>
      <c r="C15" s="52">
        <v>4</v>
      </c>
      <c r="D15" s="53" t="str">
        <f t="shared" si="0"/>
        <v>Médio</v>
      </c>
      <c r="E15" s="51" t="s">
        <v>62</v>
      </c>
      <c r="F15" s="1"/>
      <c r="G15" s="1"/>
      <c r="I15" s="1"/>
      <c r="J15" s="1"/>
      <c r="K15" s="1"/>
      <c r="L15" s="1"/>
      <c r="M15" s="1"/>
      <c r="N15" s="1"/>
      <c r="O15" s="11">
        <v>3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 x14ac:dyDescent="0.25">
      <c r="A16" s="50" t="s">
        <v>63</v>
      </c>
      <c r="B16" s="51" t="s">
        <v>64</v>
      </c>
      <c r="C16" s="52">
        <v>3</v>
      </c>
      <c r="D16" s="53" t="str">
        <f t="shared" si="0"/>
        <v>Simples</v>
      </c>
      <c r="E16" s="51" t="s">
        <v>65</v>
      </c>
      <c r="F16" s="1"/>
      <c r="G16" s="1"/>
      <c r="I16" s="1"/>
      <c r="J16" s="1"/>
      <c r="K16" s="1"/>
      <c r="L16" s="1"/>
      <c r="M16" s="1"/>
      <c r="N16" s="1"/>
      <c r="O16" s="11">
        <v>4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x14ac:dyDescent="0.25">
      <c r="A17" s="50" t="s">
        <v>66</v>
      </c>
      <c r="B17" s="51" t="s">
        <v>67</v>
      </c>
      <c r="C17" s="52">
        <v>5</v>
      </c>
      <c r="D17" s="53" t="str">
        <f t="shared" si="0"/>
        <v>Médio</v>
      </c>
      <c r="E17" s="51" t="s">
        <v>68</v>
      </c>
      <c r="F17" s="1"/>
      <c r="G17" s="1"/>
      <c r="I17" s="1"/>
      <c r="J17" s="1"/>
      <c r="K17" s="1"/>
      <c r="L17" s="1"/>
      <c r="M17" s="1"/>
      <c r="N17" s="1"/>
      <c r="O17" s="11">
        <v>5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25">
      <c r="A18" s="50" t="s">
        <v>69</v>
      </c>
      <c r="B18" s="51" t="s">
        <v>70</v>
      </c>
      <c r="C18" s="52">
        <v>4</v>
      </c>
      <c r="D18" s="53" t="str">
        <f t="shared" si="0"/>
        <v>Médio</v>
      </c>
      <c r="E18" s="51" t="s">
        <v>71</v>
      </c>
      <c r="F18" s="1"/>
      <c r="G18" s="1"/>
      <c r="H18" s="11"/>
      <c r="I18" s="1"/>
      <c r="J18" s="1"/>
      <c r="K18" s="1"/>
      <c r="L18" s="1"/>
      <c r="M18" s="1"/>
      <c r="N18" s="1"/>
      <c r="O18" s="11">
        <v>6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25">
      <c r="A19" s="50" t="s">
        <v>72</v>
      </c>
      <c r="B19" s="51" t="s">
        <v>73</v>
      </c>
      <c r="C19" s="52">
        <v>4</v>
      </c>
      <c r="D19" s="53" t="str">
        <f t="shared" si="0"/>
        <v>Médio</v>
      </c>
      <c r="E19" s="51" t="s">
        <v>74</v>
      </c>
      <c r="F19" s="1"/>
      <c r="G19" s="1"/>
      <c r="H19" s="11"/>
      <c r="I19" s="1"/>
      <c r="J19" s="1"/>
      <c r="K19" s="1"/>
      <c r="L19" s="1"/>
      <c r="M19" s="1"/>
      <c r="N19" s="1"/>
      <c r="O19" s="11">
        <v>7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25">
      <c r="A20" s="50" t="s">
        <v>75</v>
      </c>
      <c r="B20" s="51" t="s">
        <v>76</v>
      </c>
      <c r="C20" s="52">
        <v>1</v>
      </c>
      <c r="D20" s="53" t="str">
        <f t="shared" si="0"/>
        <v>Simples</v>
      </c>
      <c r="E20" s="51" t="s">
        <v>77</v>
      </c>
      <c r="F20" s="1"/>
      <c r="G20" s="1"/>
      <c r="H20" s="11"/>
      <c r="I20" s="1"/>
      <c r="J20" s="1"/>
      <c r="K20" s="1"/>
      <c r="L20" s="1"/>
      <c r="M20" s="1"/>
      <c r="N20" s="1"/>
      <c r="O20" s="11">
        <v>8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25">
      <c r="A21" s="50" t="s">
        <v>78</v>
      </c>
      <c r="B21" s="51" t="s">
        <v>79</v>
      </c>
      <c r="C21" s="52">
        <v>1</v>
      </c>
      <c r="D21" s="53" t="str">
        <f t="shared" si="0"/>
        <v>Simples</v>
      </c>
      <c r="E21" s="51" t="s">
        <v>80</v>
      </c>
      <c r="F21" s="1"/>
      <c r="G21" s="1"/>
      <c r="H21" s="11"/>
      <c r="I21" s="1"/>
      <c r="J21" s="1"/>
      <c r="K21" s="1"/>
      <c r="L21" s="1"/>
      <c r="M21" s="1"/>
      <c r="N21" s="1"/>
      <c r="O21" s="11">
        <v>9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25">
      <c r="A22" s="50" t="s">
        <v>81</v>
      </c>
      <c r="B22" s="51" t="s">
        <v>82</v>
      </c>
      <c r="C22" s="52">
        <v>2</v>
      </c>
      <c r="D22" s="53" t="str">
        <f t="shared" si="0"/>
        <v>Simples</v>
      </c>
      <c r="E22" s="51" t="s">
        <v>83</v>
      </c>
      <c r="F22" s="1"/>
      <c r="G22" s="1"/>
      <c r="H22" s="11"/>
      <c r="I22" s="1"/>
      <c r="J22" s="1"/>
      <c r="K22" s="1"/>
      <c r="L22" s="1"/>
      <c r="M22" s="1"/>
      <c r="N22" s="1"/>
      <c r="O22" s="11">
        <v>10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5">
      <c r="A23" s="50" t="s">
        <v>84</v>
      </c>
      <c r="B23" s="51" t="s">
        <v>85</v>
      </c>
      <c r="C23" s="52">
        <v>1</v>
      </c>
      <c r="D23" s="53" t="str">
        <f t="shared" si="0"/>
        <v>Simples</v>
      </c>
      <c r="E23" s="51" t="s">
        <v>86</v>
      </c>
      <c r="F23" s="1"/>
      <c r="G23" s="1"/>
      <c r="H23" s="1"/>
      <c r="I23" s="1"/>
      <c r="J23" s="1"/>
      <c r="K23" s="1"/>
      <c r="L23" s="1"/>
      <c r="M23" s="1"/>
      <c r="N23" s="1"/>
      <c r="O23" s="11">
        <v>11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25">
      <c r="A24" s="50" t="s">
        <v>87</v>
      </c>
      <c r="B24" s="51" t="s">
        <v>88</v>
      </c>
      <c r="C24" s="52">
        <v>2</v>
      </c>
      <c r="D24" s="53" t="str">
        <f t="shared" si="0"/>
        <v>Simples</v>
      </c>
      <c r="E24" s="51" t="s">
        <v>89</v>
      </c>
      <c r="F24" s="1"/>
      <c r="G24" s="1"/>
      <c r="H24" s="1"/>
      <c r="I24" s="1"/>
      <c r="J24" s="1"/>
      <c r="K24" s="1"/>
      <c r="L24" s="1"/>
      <c r="M24" s="1"/>
      <c r="N24" s="1"/>
      <c r="O24" s="11">
        <v>12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5">
      <c r="A25" s="50" t="s">
        <v>90</v>
      </c>
      <c r="B25" s="51" t="s">
        <v>91</v>
      </c>
      <c r="C25" s="52">
        <v>1</v>
      </c>
      <c r="D25" s="53" t="str">
        <f t="shared" si="0"/>
        <v>Simples</v>
      </c>
      <c r="E25" s="51" t="s">
        <v>92</v>
      </c>
      <c r="F25" s="1"/>
      <c r="G25" s="1"/>
      <c r="H25" s="1"/>
      <c r="I25" s="1"/>
      <c r="J25" s="1"/>
      <c r="K25" s="1"/>
      <c r="L25" s="1"/>
      <c r="M25" s="1"/>
      <c r="N25" s="1"/>
      <c r="O25" s="11">
        <v>13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5">
      <c r="A26" s="50" t="s">
        <v>93</v>
      </c>
      <c r="B26" s="51" t="s">
        <v>94</v>
      </c>
      <c r="C26" s="52">
        <v>3</v>
      </c>
      <c r="D26" s="53" t="str">
        <f t="shared" si="0"/>
        <v>Simples</v>
      </c>
      <c r="E26" s="51" t="s">
        <v>95</v>
      </c>
      <c r="F26" s="1"/>
      <c r="G26" s="1"/>
      <c r="H26" s="1"/>
      <c r="I26" s="1"/>
      <c r="J26" s="1"/>
      <c r="K26" s="1"/>
      <c r="L26" s="1"/>
      <c r="M26" s="1"/>
      <c r="N26" s="1"/>
      <c r="O26" s="11">
        <v>14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25">
      <c r="A27" s="50" t="s">
        <v>96</v>
      </c>
      <c r="B27" s="51" t="s">
        <v>97</v>
      </c>
      <c r="C27" s="52">
        <v>1</v>
      </c>
      <c r="D27" s="53" t="str">
        <f t="shared" si="0"/>
        <v>Simples</v>
      </c>
      <c r="E27" s="51" t="s">
        <v>98</v>
      </c>
      <c r="F27" s="1"/>
      <c r="G27" s="1"/>
      <c r="H27" s="1"/>
      <c r="I27" s="1"/>
      <c r="J27" s="1"/>
      <c r="K27" s="1"/>
      <c r="L27" s="1"/>
      <c r="M27" s="1"/>
      <c r="N27" s="1"/>
      <c r="O27" s="11">
        <v>15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25">
      <c r="A28" s="50" t="s">
        <v>99</v>
      </c>
      <c r="B28" s="51" t="s">
        <v>100</v>
      </c>
      <c r="C28" s="52">
        <v>3</v>
      </c>
      <c r="D28" s="53" t="str">
        <f t="shared" si="0"/>
        <v>Simples</v>
      </c>
      <c r="E28" s="51" t="s">
        <v>101</v>
      </c>
      <c r="F28" s="1"/>
      <c r="G28" s="1"/>
      <c r="H28" s="1"/>
      <c r="I28" s="1"/>
      <c r="J28" s="1"/>
      <c r="K28" s="1"/>
      <c r="L28" s="1"/>
      <c r="M28" s="1"/>
      <c r="N28" s="1"/>
      <c r="O28" s="11">
        <v>16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25">
      <c r="A29" s="50" t="s">
        <v>102</v>
      </c>
      <c r="B29" s="51" t="s">
        <v>103</v>
      </c>
      <c r="C29" s="52">
        <v>2</v>
      </c>
      <c r="D29" s="53" t="str">
        <f t="shared" si="0"/>
        <v>Simples</v>
      </c>
      <c r="E29" s="51" t="s">
        <v>104</v>
      </c>
      <c r="F29" s="1"/>
      <c r="G29" s="1"/>
      <c r="H29" s="1"/>
      <c r="I29" s="1"/>
      <c r="J29" s="1"/>
      <c r="K29" s="1"/>
      <c r="L29" s="1"/>
      <c r="M29" s="1"/>
      <c r="N29" s="1"/>
      <c r="O29" s="11">
        <v>17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25">
      <c r="A30" s="50" t="s">
        <v>105</v>
      </c>
      <c r="B30" s="51" t="s">
        <v>106</v>
      </c>
      <c r="C30" s="52">
        <v>2</v>
      </c>
      <c r="D30" s="53" t="str">
        <f t="shared" si="0"/>
        <v>Simples</v>
      </c>
      <c r="E30" s="51" t="s">
        <v>107</v>
      </c>
      <c r="F30" s="1"/>
      <c r="G30" s="1"/>
      <c r="H30" s="1"/>
      <c r="I30" s="1"/>
      <c r="J30" s="1"/>
      <c r="K30" s="1"/>
      <c r="L30" s="1"/>
      <c r="M30" s="1"/>
      <c r="N30" s="1"/>
      <c r="O30" s="11">
        <v>18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5">
      <c r="A31" s="50" t="s">
        <v>108</v>
      </c>
      <c r="B31" s="51" t="s">
        <v>109</v>
      </c>
      <c r="C31" s="52">
        <v>3</v>
      </c>
      <c r="D31" s="53" t="str">
        <f t="shared" si="0"/>
        <v>Simples</v>
      </c>
      <c r="E31" s="51" t="s">
        <v>110</v>
      </c>
      <c r="F31" s="1"/>
      <c r="G31" s="1"/>
      <c r="H31" s="1"/>
      <c r="I31" s="1"/>
      <c r="J31" s="1"/>
      <c r="K31" s="1"/>
      <c r="L31" s="1"/>
      <c r="M31" s="1"/>
      <c r="N31" s="1"/>
      <c r="O31" s="11">
        <v>19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5">
      <c r="A32" s="50" t="s">
        <v>111</v>
      </c>
      <c r="B32" s="51" t="s">
        <v>112</v>
      </c>
      <c r="C32" s="52">
        <v>4</v>
      </c>
      <c r="D32" s="53" t="str">
        <f t="shared" si="0"/>
        <v>Médio</v>
      </c>
      <c r="E32" s="51" t="s">
        <v>113</v>
      </c>
      <c r="F32" s="1"/>
      <c r="G32" s="1"/>
      <c r="H32" s="1"/>
      <c r="I32" s="1"/>
      <c r="J32" s="1"/>
      <c r="K32" s="1"/>
      <c r="L32" s="1"/>
      <c r="M32" s="1"/>
      <c r="N32" s="1"/>
      <c r="O32" s="11">
        <v>21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5">
      <c r="A33" s="50" t="s">
        <v>114</v>
      </c>
      <c r="B33" s="51" t="s">
        <v>115</v>
      </c>
      <c r="C33" s="52">
        <v>1</v>
      </c>
      <c r="D33" s="53" t="str">
        <f t="shared" si="0"/>
        <v>Simples</v>
      </c>
      <c r="E33" s="51" t="s">
        <v>116</v>
      </c>
      <c r="F33" s="1"/>
      <c r="G33" s="1"/>
      <c r="H33" s="1"/>
      <c r="I33" s="1"/>
      <c r="J33" s="1"/>
      <c r="K33" s="1"/>
      <c r="L33" s="1"/>
      <c r="M33" s="1"/>
      <c r="N33" s="1"/>
      <c r="O33" s="11">
        <v>22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5">
      <c r="A34" s="50" t="s">
        <v>117</v>
      </c>
      <c r="B34" s="51" t="s">
        <v>118</v>
      </c>
      <c r="C34" s="52">
        <v>2</v>
      </c>
      <c r="D34" s="53" t="str">
        <f t="shared" si="0"/>
        <v>Simples</v>
      </c>
      <c r="E34" s="51" t="s">
        <v>119</v>
      </c>
      <c r="F34" s="1"/>
      <c r="G34" s="1"/>
      <c r="H34" s="1"/>
      <c r="I34" s="1"/>
      <c r="J34" s="1"/>
      <c r="K34" s="1"/>
      <c r="L34" s="1"/>
      <c r="M34" s="1"/>
      <c r="N34" s="1"/>
      <c r="O34" s="11">
        <v>23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5">
      <c r="A35" s="50" t="s">
        <v>120</v>
      </c>
      <c r="B35" s="51" t="s">
        <v>121</v>
      </c>
      <c r="C35" s="52">
        <v>3</v>
      </c>
      <c r="D35" s="53" t="str">
        <f t="shared" si="0"/>
        <v>Simples</v>
      </c>
      <c r="E35" s="51" t="s">
        <v>122</v>
      </c>
      <c r="F35" s="1"/>
      <c r="G35" s="1"/>
      <c r="H35" s="1"/>
      <c r="I35" s="1"/>
      <c r="J35" s="1"/>
      <c r="K35" s="1"/>
      <c r="L35" s="1"/>
      <c r="M35" s="1"/>
      <c r="N35" s="1"/>
      <c r="O35" s="11">
        <v>24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5">
      <c r="A36" s="50" t="s">
        <v>123</v>
      </c>
      <c r="B36" s="51" t="s">
        <v>124</v>
      </c>
      <c r="C36" s="52">
        <v>5</v>
      </c>
      <c r="D36" s="53" t="str">
        <f t="shared" si="0"/>
        <v>Médio</v>
      </c>
      <c r="E36" s="51" t="s">
        <v>125</v>
      </c>
      <c r="F36" s="1"/>
      <c r="G36" s="1"/>
      <c r="H36" s="1"/>
      <c r="I36" s="1"/>
      <c r="J36" s="1"/>
      <c r="K36" s="1"/>
      <c r="L36" s="1"/>
      <c r="M36" s="1"/>
      <c r="N36" s="1"/>
      <c r="O36" s="11">
        <v>25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5">
      <c r="A37" s="50" t="s">
        <v>126</v>
      </c>
      <c r="B37" s="51" t="s">
        <v>127</v>
      </c>
      <c r="C37" s="52">
        <v>4</v>
      </c>
      <c r="D37" s="53" t="str">
        <f t="shared" si="0"/>
        <v>Médio</v>
      </c>
      <c r="E37" s="51" t="s">
        <v>128</v>
      </c>
      <c r="F37" s="1"/>
      <c r="G37" s="1"/>
      <c r="H37" s="1"/>
      <c r="I37" s="1"/>
      <c r="J37" s="1"/>
      <c r="K37" s="1"/>
      <c r="L37" s="1"/>
      <c r="M37" s="1"/>
      <c r="N37" s="1"/>
      <c r="O37" s="11">
        <v>26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5">
      <c r="A38" s="50" t="s">
        <v>129</v>
      </c>
      <c r="B38" s="51" t="s">
        <v>130</v>
      </c>
      <c r="C38" s="52">
        <v>4</v>
      </c>
      <c r="D38" s="53" t="str">
        <f t="shared" si="0"/>
        <v>Médio</v>
      </c>
      <c r="E38" s="51" t="s">
        <v>131</v>
      </c>
      <c r="F38" s="1"/>
      <c r="G38" s="1"/>
      <c r="H38" s="1"/>
      <c r="I38" s="1"/>
      <c r="J38" s="1"/>
      <c r="K38" s="1"/>
      <c r="L38" s="1"/>
      <c r="M38" s="1"/>
      <c r="N38" s="1"/>
      <c r="O38" s="11">
        <v>27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5">
      <c r="A39" s="50" t="s">
        <v>132</v>
      </c>
      <c r="B39" s="51" t="s">
        <v>133</v>
      </c>
      <c r="C39" s="52">
        <v>3</v>
      </c>
      <c r="D39" s="53" t="str">
        <f t="shared" si="0"/>
        <v>Simples</v>
      </c>
      <c r="E39" s="51" t="s">
        <v>134</v>
      </c>
      <c r="F39" s="1"/>
      <c r="G39" s="1"/>
      <c r="H39" s="1"/>
      <c r="I39" s="1"/>
      <c r="J39" s="1"/>
      <c r="K39" s="1"/>
      <c r="L39" s="1"/>
      <c r="M39" s="1"/>
      <c r="N39" s="1"/>
      <c r="O39" s="11">
        <v>28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5">
      <c r="A40" s="50" t="s">
        <v>135</v>
      </c>
      <c r="B40" s="51" t="s">
        <v>136</v>
      </c>
      <c r="C40" s="52">
        <v>3</v>
      </c>
      <c r="D40" s="53" t="str">
        <f t="shared" si="0"/>
        <v>Simples</v>
      </c>
      <c r="E40" s="51" t="s">
        <v>137</v>
      </c>
      <c r="F40" s="1"/>
      <c r="G40" s="1"/>
      <c r="H40" s="1"/>
      <c r="I40" s="1"/>
      <c r="J40" s="1"/>
      <c r="K40" s="1"/>
      <c r="L40" s="1"/>
      <c r="M40" s="1"/>
      <c r="N40" s="1"/>
      <c r="O40" s="11">
        <v>29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5">
      <c r="A41" s="50" t="s">
        <v>138</v>
      </c>
      <c r="B41" s="51" t="s">
        <v>139</v>
      </c>
      <c r="C41" s="52">
        <v>3</v>
      </c>
      <c r="D41" s="53" t="str">
        <f t="shared" si="0"/>
        <v>Simples</v>
      </c>
      <c r="E41" s="51" t="s">
        <v>140</v>
      </c>
      <c r="F41" s="1"/>
      <c r="G41" s="1"/>
      <c r="H41" s="1"/>
      <c r="I41" s="1"/>
      <c r="J41" s="1"/>
      <c r="K41" s="1"/>
      <c r="L41" s="1"/>
      <c r="M41" s="1"/>
      <c r="N41" s="1"/>
      <c r="O41" s="11">
        <v>30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5">
      <c r="A42" s="50" t="s">
        <v>141</v>
      </c>
      <c r="B42" s="51" t="s">
        <v>142</v>
      </c>
      <c r="C42" s="52">
        <v>3</v>
      </c>
      <c r="D42" s="53" t="str">
        <f t="shared" si="0"/>
        <v>Simples</v>
      </c>
      <c r="E42" s="51" t="s">
        <v>143</v>
      </c>
      <c r="F42" s="1"/>
      <c r="G42" s="1"/>
      <c r="H42" s="1"/>
      <c r="I42" s="1"/>
      <c r="J42" s="1"/>
      <c r="K42" s="1"/>
      <c r="L42" s="1"/>
      <c r="M42" s="1"/>
      <c r="N42" s="1"/>
      <c r="O42" s="11">
        <v>31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5">
      <c r="A43" s="50" t="s">
        <v>144</v>
      </c>
      <c r="B43" s="51" t="s">
        <v>145</v>
      </c>
      <c r="C43" s="52">
        <v>5</v>
      </c>
      <c r="D43" s="53" t="str">
        <f t="shared" si="0"/>
        <v>Médio</v>
      </c>
      <c r="E43" s="51" t="s">
        <v>146</v>
      </c>
      <c r="F43" s="1"/>
      <c r="G43" s="1"/>
      <c r="H43" s="1"/>
      <c r="I43" s="1"/>
      <c r="J43" s="1"/>
      <c r="K43" s="1"/>
      <c r="L43" s="1"/>
      <c r="M43" s="1"/>
      <c r="N43" s="1"/>
      <c r="O43" s="11">
        <v>32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5">
      <c r="A44" s="50" t="s">
        <v>147</v>
      </c>
      <c r="B44" s="51" t="s">
        <v>148</v>
      </c>
      <c r="C44" s="52">
        <v>4</v>
      </c>
      <c r="D44" s="53" t="str">
        <f t="shared" si="0"/>
        <v>Médio</v>
      </c>
      <c r="E44" s="51" t="s">
        <v>149</v>
      </c>
      <c r="F44" s="1"/>
      <c r="G44" s="1"/>
      <c r="H44" s="1"/>
      <c r="I44" s="1"/>
      <c r="J44" s="1"/>
      <c r="K44" s="1"/>
      <c r="L44" s="1"/>
      <c r="M44" s="1"/>
      <c r="N44" s="1"/>
      <c r="O44" s="11">
        <v>33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5">
      <c r="A45" s="50" t="s">
        <v>150</v>
      </c>
      <c r="B45" s="51" t="s">
        <v>151</v>
      </c>
      <c r="C45" s="52">
        <v>3</v>
      </c>
      <c r="D45" s="53" t="str">
        <f t="shared" si="0"/>
        <v>Simples</v>
      </c>
      <c r="E45" s="51" t="s">
        <v>152</v>
      </c>
      <c r="F45" s="1"/>
      <c r="G45" s="1"/>
      <c r="H45" s="1"/>
      <c r="I45" s="1"/>
      <c r="J45" s="1"/>
      <c r="K45" s="1"/>
      <c r="L45" s="1"/>
      <c r="M45" s="1"/>
      <c r="N45" s="1"/>
      <c r="O45" s="11">
        <v>34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5">
      <c r="A46" s="50" t="s">
        <v>153</v>
      </c>
      <c r="B46" s="51" t="s">
        <v>154</v>
      </c>
      <c r="C46" s="52">
        <v>3</v>
      </c>
      <c r="D46" s="53" t="str">
        <f t="shared" si="0"/>
        <v>Simples</v>
      </c>
      <c r="E46" s="51" t="s">
        <v>155</v>
      </c>
      <c r="F46" s="1"/>
      <c r="G46" s="1"/>
      <c r="H46" s="1"/>
      <c r="I46" s="1"/>
      <c r="J46" s="1"/>
      <c r="K46" s="1"/>
      <c r="L46" s="1"/>
      <c r="M46" s="1"/>
      <c r="N46" s="1"/>
      <c r="O46" s="11">
        <v>35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5">
      <c r="A47" s="50" t="s">
        <v>156</v>
      </c>
      <c r="B47" s="51" t="s">
        <v>157</v>
      </c>
      <c r="C47" s="52">
        <v>2</v>
      </c>
      <c r="D47" s="53" t="str">
        <f t="shared" si="0"/>
        <v>Simples</v>
      </c>
      <c r="E47" s="51" t="s">
        <v>158</v>
      </c>
      <c r="F47" s="1"/>
      <c r="G47" s="1"/>
      <c r="H47" s="1"/>
      <c r="I47" s="1"/>
      <c r="J47" s="1"/>
      <c r="K47" s="1"/>
      <c r="L47" s="1"/>
      <c r="M47" s="1"/>
      <c r="N47" s="1"/>
      <c r="O47" s="11">
        <v>36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5">
      <c r="A48" s="50" t="s">
        <v>159</v>
      </c>
      <c r="B48" s="51" t="s">
        <v>160</v>
      </c>
      <c r="C48" s="52">
        <v>3</v>
      </c>
      <c r="D48" s="53" t="str">
        <f t="shared" si="0"/>
        <v>Simples</v>
      </c>
      <c r="E48" s="51" t="s">
        <v>161</v>
      </c>
      <c r="F48" s="1"/>
      <c r="G48" s="1"/>
      <c r="H48" s="1"/>
      <c r="I48" s="1"/>
      <c r="J48" s="1"/>
      <c r="K48" s="1"/>
      <c r="L48" s="1"/>
      <c r="M48" s="1"/>
      <c r="N48" s="1"/>
      <c r="O48" s="11">
        <v>37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5">
      <c r="A49" s="50" t="s">
        <v>162</v>
      </c>
      <c r="B49" s="51" t="s">
        <v>163</v>
      </c>
      <c r="C49" s="52">
        <v>2</v>
      </c>
      <c r="D49" s="53" t="str">
        <f t="shared" si="0"/>
        <v>Simples</v>
      </c>
      <c r="E49" s="51" t="s">
        <v>164</v>
      </c>
      <c r="F49" s="1"/>
      <c r="G49" s="1"/>
      <c r="H49" s="1"/>
      <c r="I49" s="1"/>
      <c r="J49" s="1"/>
      <c r="K49" s="1"/>
      <c r="L49" s="1"/>
      <c r="M49" s="1"/>
      <c r="N49" s="1"/>
      <c r="O49" s="11">
        <v>38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5">
      <c r="A50" s="50" t="s">
        <v>165</v>
      </c>
      <c r="B50" s="51" t="s">
        <v>166</v>
      </c>
      <c r="C50" s="52">
        <v>2</v>
      </c>
      <c r="D50" s="53" t="str">
        <f t="shared" si="0"/>
        <v>Simples</v>
      </c>
      <c r="E50" s="51" t="s">
        <v>167</v>
      </c>
      <c r="F50" s="1"/>
      <c r="G50" s="1"/>
      <c r="H50" s="1"/>
      <c r="I50" s="1"/>
      <c r="J50" s="1"/>
      <c r="K50" s="1"/>
      <c r="L50" s="1"/>
      <c r="M50" s="1"/>
      <c r="N50" s="1"/>
      <c r="O50" s="11">
        <v>39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5">
      <c r="A51" s="50" t="s">
        <v>168</v>
      </c>
      <c r="B51" s="51" t="s">
        <v>169</v>
      </c>
      <c r="C51" s="52">
        <v>2</v>
      </c>
      <c r="D51" s="53" t="str">
        <f t="shared" si="0"/>
        <v>Simples</v>
      </c>
      <c r="E51" s="51" t="s">
        <v>170</v>
      </c>
      <c r="F51" s="1"/>
      <c r="G51" s="1"/>
      <c r="H51" s="1"/>
      <c r="I51" s="1"/>
      <c r="J51" s="1"/>
      <c r="K51" s="1"/>
      <c r="L51" s="1"/>
      <c r="M51" s="1"/>
      <c r="N51" s="1"/>
      <c r="O51" s="11">
        <v>40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5">
      <c r="A52" s="50" t="s">
        <v>171</v>
      </c>
      <c r="B52" s="51" t="s">
        <v>172</v>
      </c>
      <c r="C52" s="52">
        <v>2</v>
      </c>
      <c r="D52" s="53" t="str">
        <f t="shared" si="0"/>
        <v>Simples</v>
      </c>
      <c r="E52" s="51" t="s">
        <v>173</v>
      </c>
      <c r="F52" s="1"/>
      <c r="G52" s="1"/>
      <c r="H52" s="1"/>
      <c r="I52" s="1"/>
      <c r="J52" s="1"/>
      <c r="K52" s="1"/>
      <c r="L52" s="1"/>
      <c r="M52" s="1"/>
      <c r="N52" s="1"/>
      <c r="O52" s="11">
        <v>41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5">
      <c r="A53" s="50" t="s">
        <v>174</v>
      </c>
      <c r="B53" s="51" t="s">
        <v>175</v>
      </c>
      <c r="C53" s="52">
        <v>2</v>
      </c>
      <c r="D53" s="53" t="str">
        <f t="shared" si="0"/>
        <v>Simples</v>
      </c>
      <c r="E53" s="51" t="s">
        <v>176</v>
      </c>
      <c r="F53" s="1"/>
      <c r="G53" s="1"/>
      <c r="H53" s="1"/>
      <c r="I53" s="1"/>
      <c r="J53" s="1"/>
      <c r="K53" s="1"/>
      <c r="L53" s="1"/>
      <c r="M53" s="1"/>
      <c r="N53" s="1"/>
      <c r="O53" s="11">
        <v>42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5">
      <c r="A54" s="54"/>
      <c r="B54" s="55"/>
      <c r="C54" s="53"/>
      <c r="D54" s="53"/>
      <c r="E54" s="55"/>
      <c r="F54" s="1"/>
      <c r="G54" s="1"/>
      <c r="H54" s="1"/>
      <c r="I54" s="1"/>
      <c r="J54" s="1"/>
      <c r="K54" s="1"/>
      <c r="L54" s="1"/>
      <c r="M54" s="1"/>
      <c r="N54" s="1"/>
      <c r="O54" s="11">
        <v>43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5">
      <c r="A55" s="54"/>
      <c r="B55" s="55"/>
      <c r="C55" s="53"/>
      <c r="D55" s="53"/>
      <c r="E55" s="55"/>
      <c r="F55" s="1"/>
      <c r="G55" s="1"/>
      <c r="H55" s="1"/>
      <c r="I55" s="1"/>
      <c r="J55" s="1"/>
      <c r="K55" s="1"/>
      <c r="L55" s="1"/>
      <c r="M55" s="1"/>
      <c r="N55" s="1"/>
      <c r="O55" s="11">
        <v>44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5">
      <c r="A56" s="54"/>
      <c r="B56" s="55"/>
      <c r="C56" s="53"/>
      <c r="D56" s="53"/>
      <c r="E56" s="55"/>
      <c r="F56" s="1"/>
      <c r="G56" s="1"/>
      <c r="H56" s="1"/>
      <c r="I56" s="1"/>
      <c r="J56" s="1"/>
      <c r="K56" s="1"/>
      <c r="L56" s="1"/>
      <c r="M56" s="1"/>
      <c r="N56" s="1"/>
      <c r="O56" s="11">
        <v>45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5">
      <c r="A57" s="54"/>
      <c r="B57" s="55"/>
      <c r="C57" s="53"/>
      <c r="D57" s="53"/>
      <c r="E57" s="55"/>
      <c r="F57" s="1"/>
      <c r="G57" s="1"/>
      <c r="H57" s="1"/>
      <c r="I57" s="1"/>
      <c r="J57" s="1"/>
      <c r="K57" s="1"/>
      <c r="L57" s="1"/>
      <c r="M57" s="1"/>
      <c r="N57" s="1"/>
      <c r="O57" s="11">
        <v>46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5">
      <c r="A58" s="56"/>
      <c r="B58" s="55"/>
      <c r="C58" s="53"/>
      <c r="D58" s="53"/>
      <c r="E58" s="55"/>
      <c r="F58" s="1"/>
      <c r="G58" s="1"/>
      <c r="H58" s="1"/>
      <c r="I58" s="1"/>
      <c r="J58" s="1"/>
      <c r="K58" s="1"/>
      <c r="L58" s="1"/>
      <c r="M58" s="1"/>
      <c r="N58" s="1"/>
      <c r="O58" s="11">
        <v>47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5">
      <c r="A59" s="36"/>
      <c r="B59" s="36"/>
      <c r="C59" s="36"/>
      <c r="D59" s="36"/>
      <c r="E59" s="36"/>
      <c r="F59" s="1"/>
      <c r="G59" s="1"/>
      <c r="H59" s="1"/>
      <c r="I59" s="1"/>
      <c r="J59" s="1"/>
      <c r="K59" s="1"/>
      <c r="L59" s="1"/>
      <c r="M59" s="1"/>
      <c r="N59" s="1"/>
      <c r="O59" s="11">
        <v>48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5">
      <c r="A60" s="57" t="s">
        <v>45</v>
      </c>
      <c r="B60" s="57">
        <f>SUBTOTAL(103,B13:B59)</f>
        <v>41</v>
      </c>
      <c r="C60" s="58"/>
      <c r="D60" s="59"/>
      <c r="E60" s="59"/>
      <c r="F60" s="1"/>
      <c r="G60" s="1"/>
      <c r="H60" s="1"/>
      <c r="I60" s="1"/>
      <c r="J60" s="1"/>
      <c r="K60" s="1"/>
      <c r="L60" s="1"/>
      <c r="M60" s="1"/>
      <c r="N60" s="1"/>
      <c r="O60" s="11">
        <v>49</v>
      </c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1">
        <v>50</v>
      </c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1">
        <v>51</v>
      </c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1">
        <v>52</v>
      </c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1">
        <v>53</v>
      </c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1">
        <v>54</v>
      </c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1">
        <v>55</v>
      </c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1">
        <v>56</v>
      </c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1">
        <v>57</v>
      </c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1">
        <v>58</v>
      </c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1">
        <v>59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1">
        <v>60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1">
        <v>61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1">
        <v>62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1">
        <v>63</v>
      </c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1">
        <v>64</v>
      </c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1">
        <v>65</v>
      </c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1">
        <v>66</v>
      </c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1">
        <v>67</v>
      </c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1">
        <v>68</v>
      </c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1">
        <v>69</v>
      </c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1">
        <v>70</v>
      </c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1">
        <v>71</v>
      </c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1">
        <v>72</v>
      </c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1">
        <v>73</v>
      </c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1">
        <v>74</v>
      </c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1">
        <v>75</v>
      </c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1">
        <v>76</v>
      </c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1">
        <v>77</v>
      </c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1">
        <v>78</v>
      </c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1">
        <v>79</v>
      </c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1">
        <v>80</v>
      </c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1">
        <v>81</v>
      </c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1">
        <v>82</v>
      </c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1">
        <v>83</v>
      </c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1">
        <v>84</v>
      </c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1">
        <v>85</v>
      </c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1">
        <v>86</v>
      </c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1">
        <v>87</v>
      </c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1">
        <v>88</v>
      </c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1">
        <v>89</v>
      </c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1">
        <v>90</v>
      </c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1">
        <v>91</v>
      </c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1">
        <v>92</v>
      </c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1">
        <v>93</v>
      </c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1">
        <v>94</v>
      </c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1">
        <v>95</v>
      </c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1">
        <v>96</v>
      </c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1">
        <v>97</v>
      </c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1">
        <v>98</v>
      </c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1">
        <v>99</v>
      </c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1">
        <v>100</v>
      </c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1">
        <v>101</v>
      </c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1">
        <v>102</v>
      </c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1">
        <v>103</v>
      </c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1">
        <v>104</v>
      </c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1">
        <v>105</v>
      </c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1">
        <v>106</v>
      </c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1">
        <v>107</v>
      </c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1">
        <v>108</v>
      </c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1">
        <v>109</v>
      </c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1">
        <v>110</v>
      </c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1">
        <v>111</v>
      </c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1">
        <v>112</v>
      </c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1">
        <v>113</v>
      </c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1">
        <v>114</v>
      </c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1">
        <v>115</v>
      </c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1">
        <v>116</v>
      </c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1">
        <v>117</v>
      </c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1">
        <v>118</v>
      </c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1">
        <v>119</v>
      </c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1">
        <v>120</v>
      </c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1">
        <v>121</v>
      </c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1">
        <v>122</v>
      </c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1">
        <v>123</v>
      </c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1">
        <v>124</v>
      </c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1">
        <v>125</v>
      </c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1">
        <v>126</v>
      </c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1">
        <v>127</v>
      </c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1">
        <v>128</v>
      </c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1">
        <v>129</v>
      </c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1">
        <v>130</v>
      </c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1">
        <v>131</v>
      </c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1">
        <v>132</v>
      </c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1">
        <v>133</v>
      </c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1">
        <v>134</v>
      </c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1">
        <v>135</v>
      </c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1">
        <v>136</v>
      </c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1">
        <v>137</v>
      </c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1">
        <v>138</v>
      </c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1">
        <v>139</v>
      </c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1">
        <v>140</v>
      </c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1">
        <v>141</v>
      </c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1">
        <v>142</v>
      </c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1">
        <v>143</v>
      </c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1">
        <v>144</v>
      </c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1">
        <v>145</v>
      </c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1">
        <v>146</v>
      </c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1">
        <v>147</v>
      </c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1">
        <v>148</v>
      </c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1">
        <v>149</v>
      </c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1">
        <v>150</v>
      </c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1">
        <v>151</v>
      </c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1">
        <v>152</v>
      </c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1">
        <v>153</v>
      </c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1">
        <v>154</v>
      </c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1">
        <v>155</v>
      </c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1">
        <v>156</v>
      </c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1">
        <v>157</v>
      </c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1">
        <v>158</v>
      </c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1">
        <v>159</v>
      </c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1">
        <v>160</v>
      </c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1">
        <v>161</v>
      </c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1">
        <v>162</v>
      </c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1">
        <v>163</v>
      </c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1">
        <v>164</v>
      </c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1">
        <v>165</v>
      </c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1">
        <v>166</v>
      </c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1">
        <v>167</v>
      </c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1">
        <v>168</v>
      </c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1">
        <v>169</v>
      </c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1">
        <v>170</v>
      </c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1">
        <v>171</v>
      </c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1">
        <v>172</v>
      </c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1">
        <v>173</v>
      </c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1">
        <v>174</v>
      </c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1">
        <v>175</v>
      </c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1">
        <v>176</v>
      </c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1">
        <v>177</v>
      </c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1">
        <v>178</v>
      </c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1">
        <v>179</v>
      </c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1">
        <v>180</v>
      </c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1">
        <v>181</v>
      </c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1">
        <v>182</v>
      </c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1">
        <v>183</v>
      </c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1">
        <v>184</v>
      </c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1">
        <v>185</v>
      </c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1">
        <v>186</v>
      </c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1">
        <v>187</v>
      </c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1">
        <v>188</v>
      </c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1">
        <v>189</v>
      </c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1">
        <v>190</v>
      </c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1">
        <v>191</v>
      </c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1">
        <v>192</v>
      </c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1">
        <v>193</v>
      </c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1">
        <v>194</v>
      </c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1">
        <v>195</v>
      </c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1">
        <v>196</v>
      </c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1">
        <v>197</v>
      </c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1">
        <v>198</v>
      </c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1">
        <v>199</v>
      </c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1">
        <v>200</v>
      </c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1">
        <v>201</v>
      </c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1">
        <v>202</v>
      </c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1">
        <v>203</v>
      </c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1">
        <v>204</v>
      </c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1">
        <v>205</v>
      </c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1">
        <v>206</v>
      </c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1">
        <v>207</v>
      </c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1">
        <v>208</v>
      </c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1">
        <v>209</v>
      </c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1">
        <v>210</v>
      </c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1">
        <v>211</v>
      </c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1">
        <v>212</v>
      </c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1">
        <v>213</v>
      </c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1">
        <v>214</v>
      </c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1">
        <v>215</v>
      </c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1">
        <v>216</v>
      </c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1">
        <v>217</v>
      </c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1">
        <v>218</v>
      </c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1">
        <v>219</v>
      </c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1">
        <v>220</v>
      </c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1">
        <v>221</v>
      </c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1">
        <v>222</v>
      </c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1">
        <v>223</v>
      </c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1">
        <v>224</v>
      </c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1">
        <v>225</v>
      </c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1">
        <v>226</v>
      </c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1">
        <v>227</v>
      </c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1">
        <v>228</v>
      </c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1">
        <v>229</v>
      </c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1">
        <v>230</v>
      </c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1">
        <v>231</v>
      </c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1">
        <v>232</v>
      </c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1">
        <v>233</v>
      </c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1">
        <v>234</v>
      </c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1">
        <v>235</v>
      </c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1">
        <v>236</v>
      </c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1">
        <v>237</v>
      </c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1">
        <v>238</v>
      </c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1">
        <v>239</v>
      </c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1">
        <v>240</v>
      </c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1">
        <v>241</v>
      </c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1">
        <v>242</v>
      </c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1">
        <v>243</v>
      </c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1">
        <v>244</v>
      </c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1">
        <v>245</v>
      </c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1">
        <v>246</v>
      </c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1">
        <v>247</v>
      </c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1">
        <v>248</v>
      </c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1">
        <v>249</v>
      </c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1">
        <v>250</v>
      </c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1">
        <v>251</v>
      </c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1">
        <v>252</v>
      </c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1">
        <v>253</v>
      </c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1">
        <v>254</v>
      </c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1">
        <v>255</v>
      </c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1">
        <v>256</v>
      </c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1">
        <v>257</v>
      </c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1">
        <v>258</v>
      </c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1">
        <v>259</v>
      </c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1">
        <v>260</v>
      </c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1">
        <v>261</v>
      </c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1">
        <v>262</v>
      </c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1">
        <v>263</v>
      </c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1">
        <v>264</v>
      </c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1">
        <v>265</v>
      </c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1">
        <v>266</v>
      </c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1">
        <v>267</v>
      </c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1">
        <v>268</v>
      </c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1">
        <v>269</v>
      </c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1">
        <v>270</v>
      </c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1">
        <v>271</v>
      </c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1">
        <v>272</v>
      </c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1">
        <v>273</v>
      </c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1">
        <v>274</v>
      </c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1">
        <v>275</v>
      </c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1">
        <v>276</v>
      </c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1">
        <v>277</v>
      </c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1">
        <v>278</v>
      </c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1">
        <v>279</v>
      </c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1">
        <v>280</v>
      </c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1">
        <v>281</v>
      </c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1">
        <v>282</v>
      </c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1">
        <v>283</v>
      </c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1">
        <v>284</v>
      </c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1">
        <v>285</v>
      </c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1">
        <v>286</v>
      </c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1">
        <v>287</v>
      </c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1">
        <v>288</v>
      </c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1">
        <v>289</v>
      </c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1">
        <v>290</v>
      </c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1">
        <v>291</v>
      </c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1">
        <v>292</v>
      </c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1">
        <v>293</v>
      </c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1">
        <v>294</v>
      </c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1">
        <v>295</v>
      </c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1">
        <v>296</v>
      </c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1">
        <v>297</v>
      </c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1">
        <v>298</v>
      </c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1">
        <v>299</v>
      </c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1">
        <v>300</v>
      </c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1">
        <v>301</v>
      </c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1">
        <v>302</v>
      </c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1">
        <v>303</v>
      </c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1">
        <v>304</v>
      </c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1">
        <v>305</v>
      </c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1">
        <v>306</v>
      </c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1">
        <v>307</v>
      </c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1">
        <v>308</v>
      </c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1">
        <v>309</v>
      </c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1">
        <v>310</v>
      </c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1">
        <v>311</v>
      </c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1">
        <v>312</v>
      </c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1">
        <v>313</v>
      </c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1">
        <v>314</v>
      </c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1">
        <v>315</v>
      </c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1">
        <v>316</v>
      </c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1">
        <v>317</v>
      </c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1">
        <v>318</v>
      </c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1">
        <v>319</v>
      </c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1">
        <v>320</v>
      </c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1">
        <v>321</v>
      </c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1">
        <v>322</v>
      </c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1">
        <v>323</v>
      </c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1">
        <v>324</v>
      </c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1">
        <v>325</v>
      </c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1">
        <v>326</v>
      </c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1">
        <v>327</v>
      </c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1">
        <v>328</v>
      </c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1">
        <v>329</v>
      </c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1">
        <v>330</v>
      </c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1">
        <v>331</v>
      </c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1">
        <v>332</v>
      </c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1">
        <v>333</v>
      </c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1">
        <v>334</v>
      </c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1">
        <v>335</v>
      </c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1">
        <v>336</v>
      </c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1">
        <v>337</v>
      </c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1">
        <v>338</v>
      </c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1">
        <v>339</v>
      </c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1">
        <v>340</v>
      </c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1">
        <v>341</v>
      </c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1">
        <v>342</v>
      </c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1">
        <v>343</v>
      </c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1">
        <v>344</v>
      </c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1">
        <v>345</v>
      </c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1">
        <v>346</v>
      </c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1">
        <v>347</v>
      </c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1">
        <v>348</v>
      </c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1">
        <v>349</v>
      </c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1">
        <v>350</v>
      </c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1">
        <v>351</v>
      </c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1">
        <v>352</v>
      </c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1">
        <v>353</v>
      </c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1">
        <v>354</v>
      </c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1">
        <v>355</v>
      </c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1">
        <v>356</v>
      </c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1">
        <v>357</v>
      </c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1">
        <v>358</v>
      </c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1">
        <v>359</v>
      </c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1">
        <v>360</v>
      </c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1">
        <v>361</v>
      </c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1">
        <v>362</v>
      </c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1">
        <v>363</v>
      </c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1">
        <v>364</v>
      </c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1">
        <v>365</v>
      </c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1">
        <v>366</v>
      </c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1">
        <v>367</v>
      </c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1">
        <v>368</v>
      </c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1">
        <v>369</v>
      </c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1">
        <v>370</v>
      </c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1">
        <v>371</v>
      </c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1">
        <v>372</v>
      </c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1">
        <v>373</v>
      </c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1">
        <v>374</v>
      </c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1">
        <v>375</v>
      </c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1">
        <v>376</v>
      </c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1">
        <v>377</v>
      </c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1">
        <v>378</v>
      </c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1">
        <v>379</v>
      </c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1">
        <v>380</v>
      </c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1">
        <v>381</v>
      </c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1">
        <v>382</v>
      </c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1">
        <v>383</v>
      </c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1">
        <v>384</v>
      </c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1">
        <v>385</v>
      </c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1">
        <v>386</v>
      </c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1">
        <v>387</v>
      </c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1">
        <v>388</v>
      </c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1">
        <v>389</v>
      </c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1">
        <v>390</v>
      </c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1">
        <v>391</v>
      </c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1">
        <v>392</v>
      </c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1">
        <v>393</v>
      </c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1">
        <v>394</v>
      </c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1">
        <v>395</v>
      </c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1">
        <v>396</v>
      </c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1">
        <v>397</v>
      </c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1">
        <v>398</v>
      </c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1">
        <v>399</v>
      </c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1">
        <v>400</v>
      </c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1">
        <v>401</v>
      </c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1">
        <v>402</v>
      </c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1">
        <v>403</v>
      </c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1">
        <v>404</v>
      </c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1">
        <v>405</v>
      </c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1">
        <v>406</v>
      </c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1">
        <v>407</v>
      </c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1">
        <v>408</v>
      </c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1">
        <v>409</v>
      </c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1">
        <v>410</v>
      </c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1">
        <v>411</v>
      </c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1">
        <v>412</v>
      </c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1">
        <v>413</v>
      </c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1">
        <v>414</v>
      </c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1">
        <v>415</v>
      </c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1">
        <v>416</v>
      </c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1">
        <v>417</v>
      </c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1">
        <v>418</v>
      </c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1">
        <v>419</v>
      </c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1">
        <v>420</v>
      </c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1">
        <v>421</v>
      </c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1">
        <v>422</v>
      </c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1">
        <v>423</v>
      </c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1">
        <v>424</v>
      </c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1">
        <v>425</v>
      </c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1">
        <v>426</v>
      </c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1">
        <v>427</v>
      </c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1">
        <v>428</v>
      </c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1">
        <v>429</v>
      </c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1">
        <v>430</v>
      </c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1">
        <v>431</v>
      </c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1">
        <v>432</v>
      </c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1">
        <v>433</v>
      </c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1">
        <v>434</v>
      </c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1">
        <v>435</v>
      </c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1">
        <v>436</v>
      </c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1">
        <v>437</v>
      </c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1">
        <v>438</v>
      </c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1">
        <v>439</v>
      </c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1">
        <v>440</v>
      </c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1">
        <v>441</v>
      </c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1">
        <v>442</v>
      </c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1">
        <v>443</v>
      </c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1">
        <v>444</v>
      </c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1">
        <v>445</v>
      </c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1">
        <v>446</v>
      </c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1">
        <v>447</v>
      </c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1">
        <v>448</v>
      </c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1">
        <v>449</v>
      </c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1">
        <v>450</v>
      </c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1">
        <v>451</v>
      </c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1">
        <v>452</v>
      </c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1">
        <v>453</v>
      </c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1">
        <v>454</v>
      </c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1">
        <v>455</v>
      </c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1">
        <v>456</v>
      </c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1">
        <v>457</v>
      </c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1">
        <v>458</v>
      </c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1">
        <v>459</v>
      </c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1">
        <v>460</v>
      </c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1">
        <v>461</v>
      </c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1">
        <v>462</v>
      </c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1">
        <v>463</v>
      </c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1">
        <v>464</v>
      </c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1">
        <v>465</v>
      </c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1">
        <v>466</v>
      </c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1">
        <v>467</v>
      </c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1">
        <v>468</v>
      </c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1">
        <v>469</v>
      </c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1">
        <v>470</v>
      </c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1">
        <v>471</v>
      </c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1">
        <v>472</v>
      </c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1">
        <v>473</v>
      </c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1">
        <v>474</v>
      </c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1">
        <v>475</v>
      </c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1">
        <v>476</v>
      </c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1">
        <v>477</v>
      </c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1">
        <v>478</v>
      </c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1">
        <v>479</v>
      </c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1">
        <v>480</v>
      </c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1">
        <v>481</v>
      </c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1">
        <v>482</v>
      </c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1">
        <v>483</v>
      </c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1">
        <v>484</v>
      </c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1">
        <v>485</v>
      </c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1">
        <v>486</v>
      </c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1">
        <v>487</v>
      </c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1">
        <v>488</v>
      </c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1">
        <v>489</v>
      </c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1">
        <v>490</v>
      </c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1">
        <v>491</v>
      </c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1">
        <v>492</v>
      </c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1">
        <v>493</v>
      </c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1">
        <v>494</v>
      </c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1">
        <v>495</v>
      </c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1">
        <v>496</v>
      </c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1">
        <v>497</v>
      </c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1">
        <v>498</v>
      </c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1">
        <v>499</v>
      </c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1">
        <v>500</v>
      </c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1">
        <v>501</v>
      </c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1">
        <v>502</v>
      </c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1">
        <v>503</v>
      </c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1">
        <v>504</v>
      </c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1">
        <v>505</v>
      </c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1">
        <v>506</v>
      </c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1">
        <v>507</v>
      </c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1">
        <v>508</v>
      </c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1">
        <v>509</v>
      </c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1">
        <v>510</v>
      </c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1">
        <v>511</v>
      </c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1">
        <v>512</v>
      </c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1">
        <v>513</v>
      </c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1">
        <v>514</v>
      </c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1">
        <v>515</v>
      </c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1">
        <v>516</v>
      </c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1">
        <v>517</v>
      </c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1">
        <v>518</v>
      </c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1">
        <v>519</v>
      </c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1">
        <v>520</v>
      </c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1">
        <v>521</v>
      </c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1">
        <v>522</v>
      </c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1">
        <v>523</v>
      </c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1">
        <v>524</v>
      </c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1">
        <v>525</v>
      </c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1">
        <v>526</v>
      </c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1">
        <v>527</v>
      </c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1">
        <v>528</v>
      </c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1">
        <v>529</v>
      </c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1">
        <v>530</v>
      </c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1">
        <v>531</v>
      </c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1">
        <v>532</v>
      </c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1">
        <v>533</v>
      </c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1">
        <v>534</v>
      </c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1">
        <v>535</v>
      </c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1">
        <v>536</v>
      </c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1">
        <v>537</v>
      </c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1">
        <v>538</v>
      </c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1">
        <v>539</v>
      </c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1">
        <v>540</v>
      </c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1">
        <v>541</v>
      </c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1">
        <v>542</v>
      </c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1">
        <v>543</v>
      </c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1">
        <v>544</v>
      </c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1">
        <v>545</v>
      </c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1">
        <v>546</v>
      </c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1">
        <v>547</v>
      </c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1">
        <v>548</v>
      </c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1">
        <v>549</v>
      </c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1">
        <v>550</v>
      </c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1">
        <v>551</v>
      </c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1">
        <v>552</v>
      </c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1">
        <v>553</v>
      </c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1">
        <v>554</v>
      </c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1">
        <v>555</v>
      </c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1">
        <v>556</v>
      </c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1">
        <v>557</v>
      </c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1">
        <v>558</v>
      </c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1">
        <v>559</v>
      </c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1">
        <v>560</v>
      </c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1">
        <v>561</v>
      </c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1">
        <v>562</v>
      </c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1">
        <v>563</v>
      </c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1">
        <v>564</v>
      </c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1">
        <v>565</v>
      </c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1">
        <v>566</v>
      </c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1">
        <v>567</v>
      </c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1">
        <v>568</v>
      </c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1">
        <v>569</v>
      </c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1">
        <v>570</v>
      </c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1">
        <v>571</v>
      </c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1">
        <v>572</v>
      </c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1">
        <v>573</v>
      </c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1">
        <v>574</v>
      </c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1">
        <v>575</v>
      </c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1">
        <v>576</v>
      </c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1">
        <v>577</v>
      </c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1">
        <v>578</v>
      </c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1">
        <v>579</v>
      </c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1">
        <v>580</v>
      </c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1">
        <v>581</v>
      </c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1">
        <v>582</v>
      </c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1">
        <v>583</v>
      </c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1">
        <v>584</v>
      </c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1">
        <v>585</v>
      </c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1">
        <v>586</v>
      </c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1">
        <v>587</v>
      </c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1">
        <v>588</v>
      </c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1">
        <v>589</v>
      </c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1">
        <v>590</v>
      </c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1">
        <v>591</v>
      </c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1">
        <v>592</v>
      </c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1">
        <v>593</v>
      </c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1">
        <v>594</v>
      </c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1">
        <v>595</v>
      </c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1">
        <v>596</v>
      </c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1">
        <v>597</v>
      </c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1">
        <v>598</v>
      </c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1">
        <v>599</v>
      </c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1">
        <v>600</v>
      </c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1">
        <v>601</v>
      </c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1">
        <v>602</v>
      </c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1">
        <v>603</v>
      </c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1">
        <v>604</v>
      </c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1">
        <v>605</v>
      </c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1">
        <v>606</v>
      </c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1">
        <v>607</v>
      </c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1">
        <v>608</v>
      </c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1">
        <v>609</v>
      </c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1">
        <v>610</v>
      </c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1">
        <v>611</v>
      </c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1">
        <v>612</v>
      </c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1">
        <v>613</v>
      </c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1">
        <v>614</v>
      </c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1">
        <v>615</v>
      </c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1">
        <v>616</v>
      </c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1">
        <v>617</v>
      </c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1">
        <v>618</v>
      </c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1">
        <v>619</v>
      </c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1">
        <v>620</v>
      </c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1">
        <v>621</v>
      </c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1">
        <v>622</v>
      </c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1">
        <v>623</v>
      </c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1">
        <v>624</v>
      </c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1">
        <v>625</v>
      </c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1">
        <v>626</v>
      </c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1">
        <v>627</v>
      </c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1">
        <v>628</v>
      </c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1">
        <v>629</v>
      </c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1">
        <v>630</v>
      </c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1">
        <v>631</v>
      </c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1">
        <v>632</v>
      </c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1">
        <v>633</v>
      </c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1">
        <v>634</v>
      </c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1">
        <v>635</v>
      </c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1">
        <v>636</v>
      </c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1">
        <v>637</v>
      </c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1">
        <v>638</v>
      </c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1">
        <v>639</v>
      </c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1">
        <v>640</v>
      </c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1">
        <v>641</v>
      </c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1">
        <v>642</v>
      </c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1">
        <v>643</v>
      </c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1">
        <v>644</v>
      </c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1">
        <v>645</v>
      </c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1">
        <v>646</v>
      </c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1">
        <v>647</v>
      </c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1">
        <v>648</v>
      </c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1">
        <v>649</v>
      </c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1">
        <v>650</v>
      </c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1">
        <v>651</v>
      </c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1">
        <v>652</v>
      </c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1">
        <v>653</v>
      </c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1">
        <v>654</v>
      </c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1">
        <v>655</v>
      </c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1">
        <v>656</v>
      </c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1">
        <v>657</v>
      </c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1">
        <v>658</v>
      </c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1">
        <v>659</v>
      </c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1">
        <v>660</v>
      </c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1">
        <v>661</v>
      </c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1">
        <v>662</v>
      </c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1">
        <v>663</v>
      </c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1">
        <v>664</v>
      </c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1">
        <v>665</v>
      </c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1">
        <v>666</v>
      </c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1">
        <v>667</v>
      </c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1">
        <v>668</v>
      </c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1">
        <v>669</v>
      </c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1">
        <v>670</v>
      </c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1">
        <v>671</v>
      </c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1">
        <v>672</v>
      </c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1">
        <v>673</v>
      </c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1">
        <v>674</v>
      </c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1">
        <v>675</v>
      </c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1">
        <v>676</v>
      </c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1">
        <v>677</v>
      </c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1">
        <v>678</v>
      </c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1">
        <v>679</v>
      </c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1">
        <v>680</v>
      </c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1">
        <v>681</v>
      </c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1">
        <v>682</v>
      </c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1">
        <v>683</v>
      </c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1">
        <v>684</v>
      </c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1">
        <v>685</v>
      </c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1">
        <v>686</v>
      </c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1">
        <v>687</v>
      </c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1">
        <v>688</v>
      </c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1">
        <v>689</v>
      </c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1">
        <v>690</v>
      </c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1">
        <v>691</v>
      </c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1">
        <v>692</v>
      </c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1">
        <v>693</v>
      </c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1">
        <v>694</v>
      </c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1">
        <v>695</v>
      </c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1">
        <v>696</v>
      </c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1">
        <v>697</v>
      </c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1">
        <v>698</v>
      </c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1">
        <v>699</v>
      </c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1">
        <v>700</v>
      </c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1">
        <v>701</v>
      </c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1">
        <v>702</v>
      </c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1">
        <v>703</v>
      </c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1">
        <v>704</v>
      </c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1">
        <v>705</v>
      </c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1">
        <v>706</v>
      </c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1">
        <v>707</v>
      </c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1">
        <v>708</v>
      </c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1">
        <v>709</v>
      </c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1">
        <v>710</v>
      </c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1">
        <v>711</v>
      </c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1">
        <v>712</v>
      </c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1">
        <v>713</v>
      </c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1">
        <v>714</v>
      </c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1">
        <v>715</v>
      </c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1">
        <v>716</v>
      </c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1">
        <v>717</v>
      </c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1">
        <v>718</v>
      </c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1">
        <v>719</v>
      </c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1">
        <v>720</v>
      </c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1">
        <v>721</v>
      </c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1">
        <v>722</v>
      </c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1">
        <v>723</v>
      </c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1">
        <v>724</v>
      </c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1">
        <v>725</v>
      </c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1">
        <v>726</v>
      </c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1">
        <v>727</v>
      </c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1">
        <v>728</v>
      </c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1">
        <v>729</v>
      </c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1">
        <v>730</v>
      </c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1">
        <v>731</v>
      </c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1">
        <v>732</v>
      </c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1">
        <v>733</v>
      </c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1">
        <v>734</v>
      </c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1">
        <v>735</v>
      </c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1">
        <v>736</v>
      </c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1">
        <v>737</v>
      </c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1">
        <v>738</v>
      </c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1">
        <v>739</v>
      </c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1">
        <v>740</v>
      </c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1">
        <v>741</v>
      </c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1">
        <v>742</v>
      </c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1">
        <v>743</v>
      </c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1">
        <v>744</v>
      </c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1">
        <v>745</v>
      </c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1">
        <v>746</v>
      </c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1">
        <v>747</v>
      </c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1">
        <v>748</v>
      </c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1">
        <v>749</v>
      </c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1">
        <v>750</v>
      </c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1">
        <v>751</v>
      </c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1">
        <v>752</v>
      </c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1">
        <v>753</v>
      </c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1">
        <v>754</v>
      </c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1">
        <v>755</v>
      </c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1">
        <v>756</v>
      </c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1">
        <v>757</v>
      </c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1">
        <v>758</v>
      </c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1">
        <v>759</v>
      </c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1">
        <v>760</v>
      </c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1">
        <v>761</v>
      </c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1">
        <v>762</v>
      </c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1">
        <v>763</v>
      </c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1">
        <v>764</v>
      </c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1">
        <v>765</v>
      </c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1">
        <v>766</v>
      </c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1">
        <v>767</v>
      </c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1">
        <v>768</v>
      </c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1">
        <v>769</v>
      </c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1">
        <v>770</v>
      </c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1">
        <v>771</v>
      </c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1">
        <v>772</v>
      </c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1">
        <v>773</v>
      </c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1">
        <v>774</v>
      </c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1">
        <v>775</v>
      </c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1">
        <v>776</v>
      </c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1">
        <v>777</v>
      </c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1">
        <v>778</v>
      </c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1">
        <v>779</v>
      </c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1">
        <v>780</v>
      </c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1">
        <v>781</v>
      </c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1">
        <v>782</v>
      </c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1">
        <v>783</v>
      </c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1">
        <v>784</v>
      </c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1">
        <v>785</v>
      </c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1">
        <v>786</v>
      </c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1">
        <v>787</v>
      </c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1">
        <v>788</v>
      </c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1">
        <v>789</v>
      </c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1">
        <v>790</v>
      </c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1">
        <v>791</v>
      </c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1">
        <v>792</v>
      </c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1">
        <v>793</v>
      </c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1">
        <v>794</v>
      </c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1">
        <v>795</v>
      </c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1">
        <v>796</v>
      </c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1">
        <v>797</v>
      </c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1">
        <v>798</v>
      </c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1">
        <v>799</v>
      </c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1">
        <v>800</v>
      </c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1">
        <v>801</v>
      </c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1">
        <v>802</v>
      </c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1">
        <v>803</v>
      </c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1">
        <v>804</v>
      </c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1">
        <v>805</v>
      </c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1">
        <v>806</v>
      </c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1">
        <v>807</v>
      </c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1">
        <v>808</v>
      </c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1">
        <v>809</v>
      </c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1">
        <v>810</v>
      </c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1">
        <v>811</v>
      </c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1">
        <v>812</v>
      </c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1">
        <v>813</v>
      </c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1">
        <v>814</v>
      </c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1">
        <v>815</v>
      </c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1">
        <v>816</v>
      </c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1">
        <v>817</v>
      </c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1">
        <v>818</v>
      </c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1">
        <v>819</v>
      </c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1">
        <v>820</v>
      </c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1">
        <v>821</v>
      </c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1">
        <v>822</v>
      </c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1">
        <v>823</v>
      </c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1">
        <v>824</v>
      </c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1">
        <v>825</v>
      </c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1">
        <v>826</v>
      </c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1">
        <v>827</v>
      </c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1">
        <v>828</v>
      </c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1">
        <v>829</v>
      </c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1">
        <v>830</v>
      </c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1">
        <v>831</v>
      </c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1">
        <v>832</v>
      </c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1">
        <v>833</v>
      </c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1">
        <v>834</v>
      </c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1">
        <v>835</v>
      </c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1">
        <v>836</v>
      </c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1">
        <v>837</v>
      </c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1">
        <v>838</v>
      </c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1">
        <v>839</v>
      </c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1">
        <v>840</v>
      </c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1">
        <v>841</v>
      </c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1">
        <v>842</v>
      </c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1">
        <v>843</v>
      </c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1">
        <v>844</v>
      </c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1">
        <v>845</v>
      </c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1">
        <v>846</v>
      </c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1">
        <v>847</v>
      </c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1">
        <v>848</v>
      </c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1">
        <v>849</v>
      </c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1">
        <v>850</v>
      </c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1">
        <v>851</v>
      </c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1">
        <v>852</v>
      </c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1">
        <v>853</v>
      </c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1">
        <v>854</v>
      </c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1">
        <v>855</v>
      </c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1">
        <v>856</v>
      </c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1">
        <v>857</v>
      </c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1">
        <v>858</v>
      </c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1">
        <v>859</v>
      </c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1">
        <v>860</v>
      </c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1">
        <v>861</v>
      </c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1">
        <v>862</v>
      </c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1">
        <v>863</v>
      </c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1">
        <v>864</v>
      </c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1">
        <v>865</v>
      </c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1">
        <v>866</v>
      </c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1">
        <v>867</v>
      </c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1">
        <v>868</v>
      </c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1">
        <v>869</v>
      </c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1">
        <v>870</v>
      </c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1">
        <v>871</v>
      </c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1">
        <v>872</v>
      </c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1">
        <v>873</v>
      </c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1">
        <v>874</v>
      </c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1">
        <v>875</v>
      </c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1">
        <v>876</v>
      </c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1">
        <v>877</v>
      </c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1">
        <v>878</v>
      </c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1">
        <v>879</v>
      </c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1">
        <v>880</v>
      </c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1">
        <v>881</v>
      </c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1">
        <v>882</v>
      </c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1">
        <v>883</v>
      </c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1">
        <v>884</v>
      </c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1">
        <v>885</v>
      </c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1">
        <v>886</v>
      </c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1">
        <v>887</v>
      </c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1">
        <v>888</v>
      </c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1">
        <v>889</v>
      </c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1">
        <v>890</v>
      </c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1">
        <v>891</v>
      </c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1">
        <v>892</v>
      </c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1">
        <v>893</v>
      </c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1">
        <v>894</v>
      </c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1">
        <v>895</v>
      </c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1">
        <v>896</v>
      </c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1">
        <v>897</v>
      </c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1">
        <v>898</v>
      </c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1">
        <v>899</v>
      </c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1">
        <v>900</v>
      </c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1">
        <v>901</v>
      </c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1">
        <v>902</v>
      </c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1">
        <v>903</v>
      </c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1">
        <v>904</v>
      </c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1">
        <v>905</v>
      </c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1">
        <v>906</v>
      </c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1">
        <v>907</v>
      </c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1">
        <v>908</v>
      </c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1">
        <v>909</v>
      </c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1">
        <v>910</v>
      </c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1">
        <v>911</v>
      </c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1">
        <v>912</v>
      </c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1">
        <v>913</v>
      </c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1">
        <v>914</v>
      </c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1">
        <v>915</v>
      </c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1">
        <v>916</v>
      </c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1">
        <v>917</v>
      </c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1">
        <v>918</v>
      </c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1">
        <v>919</v>
      </c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1">
        <v>920</v>
      </c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1">
        <v>921</v>
      </c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1">
        <v>922</v>
      </c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1">
        <v>923</v>
      </c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1">
        <v>924</v>
      </c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1">
        <v>925</v>
      </c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1">
        <v>926</v>
      </c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1">
        <v>927</v>
      </c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1">
        <v>928</v>
      </c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1">
        <v>929</v>
      </c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1">
        <v>930</v>
      </c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1">
        <v>931</v>
      </c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1">
        <v>932</v>
      </c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1">
        <v>933</v>
      </c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1">
        <v>934</v>
      </c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1">
        <v>935</v>
      </c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1">
        <v>936</v>
      </c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1">
        <v>937</v>
      </c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1">
        <v>938</v>
      </c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1">
        <v>939</v>
      </c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1">
        <v>940</v>
      </c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1">
        <v>941</v>
      </c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1">
        <v>942</v>
      </c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1">
        <v>943</v>
      </c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1">
        <v>944</v>
      </c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1">
        <v>945</v>
      </c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1">
        <v>946</v>
      </c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1">
        <v>947</v>
      </c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1">
        <v>948</v>
      </c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1">
        <v>949</v>
      </c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1">
        <v>950</v>
      </c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1">
        <v>951</v>
      </c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1">
        <v>952</v>
      </c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1">
        <v>953</v>
      </c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1">
        <v>954</v>
      </c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1">
        <v>955</v>
      </c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1">
        <v>956</v>
      </c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1">
        <v>957</v>
      </c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1">
        <v>958</v>
      </c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1">
        <v>959</v>
      </c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1">
        <v>960</v>
      </c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1">
        <v>961</v>
      </c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1">
        <v>962</v>
      </c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1">
        <v>963</v>
      </c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1">
        <v>964</v>
      </c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1">
        <v>965</v>
      </c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1">
        <v>966</v>
      </c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1">
        <v>967</v>
      </c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1">
        <v>968</v>
      </c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1">
        <v>969</v>
      </c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1">
        <v>970</v>
      </c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1">
        <v>971</v>
      </c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1">
        <v>972</v>
      </c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1">
        <v>973</v>
      </c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1">
        <v>974</v>
      </c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1">
        <v>975</v>
      </c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1">
        <v>976</v>
      </c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1">
        <v>977</v>
      </c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1">
        <v>978</v>
      </c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1">
        <v>979</v>
      </c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1">
        <v>980</v>
      </c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1">
        <v>981</v>
      </c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1">
        <v>982</v>
      </c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1">
        <v>983</v>
      </c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1">
        <v>984</v>
      </c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1">
        <v>985</v>
      </c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1">
        <v>986</v>
      </c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1">
        <v>987</v>
      </c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1">
        <v>988</v>
      </c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1">
        <v>989</v>
      </c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2.75" customHeight="1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1">
        <v>990</v>
      </c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2.75" customHeight="1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1">
        <v>991</v>
      </c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2.75" customHeight="1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1">
        <v>992</v>
      </c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2.75" customHeight="1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1">
        <v>993</v>
      </c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2.75" customHeight="1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1">
        <v>994</v>
      </c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2.75" customHeight="1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1">
        <v>995</v>
      </c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2.75" customHeight="1" x14ac:dyDescent="0.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1">
        <v>996</v>
      </c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2.75" customHeight="1" x14ac:dyDescent="0.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1">
        <v>997</v>
      </c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2.75" customHeight="1" x14ac:dyDescent="0.2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1">
        <v>998</v>
      </c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2.75" customHeight="1" x14ac:dyDescent="0.2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1">
        <v>999</v>
      </c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</sheetData>
  <mergeCells count="2">
    <mergeCell ref="B2:D2"/>
    <mergeCell ref="A11:C11"/>
  </mergeCells>
  <dataValidations count="2">
    <dataValidation type="custom" allowBlank="1" showErrorMessage="1" sqref="B13 B15:B58" xr:uid="{00000000-0002-0000-0200-000000000000}">
      <formula1>AND(GTE(LEN(B13),MIN((1),(100))),LTE(LEN(B13),MAX((1),(100))))</formula1>
    </dataValidation>
    <dataValidation type="list" allowBlank="1" showErrorMessage="1" sqref="D13:D58" xr:uid="{00000000-0002-0000-0200-000001000000}">
      <formula1>$B$7:$B$9</formula1>
    </dataValidation>
  </dataValidations>
  <pageMargins left="0.78749999999999998" right="0.78749999999999998" top="0.98402777777777795" bottom="0.98402777777777795" header="0" footer="0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FF"/>
  </sheetPr>
  <dimension ref="A1:Z1000"/>
  <sheetViews>
    <sheetView workbookViewId="0"/>
  </sheetViews>
  <sheetFormatPr defaultColWidth="12.6640625" defaultRowHeight="15" customHeight="1" x14ac:dyDescent="0.25"/>
  <cols>
    <col min="1" max="2" width="9.109375" customWidth="1"/>
    <col min="3" max="3" width="40.33203125" customWidth="1"/>
    <col min="4" max="4" width="5.21875" customWidth="1"/>
    <col min="5" max="5" width="10.33203125" customWidth="1"/>
    <col min="6" max="6" width="9.109375" customWidth="1"/>
    <col min="7" max="7" width="10" customWidth="1"/>
    <col min="8" max="13" width="9.109375" customWidth="1"/>
    <col min="14" max="26" width="8.6640625" customWidth="1"/>
  </cols>
  <sheetData>
    <row r="1" spans="1:26" ht="12.75" customHeight="1" x14ac:dyDescent="0.25">
      <c r="A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2.75" customHeight="1" x14ac:dyDescent="0.25">
      <c r="A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12.75" customHeight="1" x14ac:dyDescent="0.25">
      <c r="A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2.75" customHeight="1" x14ac:dyDescent="0.3">
      <c r="A4" s="11"/>
      <c r="B4" s="125" t="s">
        <v>177</v>
      </c>
      <c r="C4" s="126"/>
      <c r="D4" s="126"/>
      <c r="E4" s="127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2.75" customHeight="1" x14ac:dyDescent="0.25">
      <c r="A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2.75" customHeight="1" x14ac:dyDescent="0.25">
      <c r="A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2.75" customHeight="1" x14ac:dyDescent="0.25">
      <c r="A7" s="11"/>
      <c r="B7" s="133" t="s">
        <v>178</v>
      </c>
      <c r="C7" s="105"/>
      <c r="D7" s="105"/>
      <c r="E7" s="106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2.75" customHeight="1" x14ac:dyDescent="0.25">
      <c r="A8" s="11"/>
      <c r="B8" s="60" t="s">
        <v>50</v>
      </c>
      <c r="C8" s="61" t="s">
        <v>179</v>
      </c>
      <c r="D8" s="61" t="s">
        <v>34</v>
      </c>
      <c r="E8" s="61" t="s">
        <v>180</v>
      </c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2.75" customHeight="1" x14ac:dyDescent="0.25">
      <c r="A9" s="11"/>
      <c r="B9" s="27" t="s">
        <v>181</v>
      </c>
      <c r="C9" s="35" t="s">
        <v>182</v>
      </c>
      <c r="D9" s="27">
        <v>2</v>
      </c>
      <c r="E9" s="27">
        <v>0</v>
      </c>
      <c r="H9" s="11"/>
      <c r="I9" s="45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2.75" customHeight="1" x14ac:dyDescent="0.25">
      <c r="A10" s="11"/>
      <c r="B10" s="27" t="s">
        <v>183</v>
      </c>
      <c r="C10" s="35" t="s">
        <v>184</v>
      </c>
      <c r="D10" s="27">
        <v>1</v>
      </c>
      <c r="E10" s="27">
        <v>2</v>
      </c>
      <c r="H10" s="11"/>
      <c r="I10" s="45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2.75" customHeight="1" x14ac:dyDescent="0.25">
      <c r="A11" s="11"/>
      <c r="B11" s="27" t="s">
        <v>185</v>
      </c>
      <c r="C11" s="35" t="s">
        <v>186</v>
      </c>
      <c r="D11" s="27">
        <v>1</v>
      </c>
      <c r="E11" s="27">
        <v>1</v>
      </c>
      <c r="H11" s="11"/>
      <c r="I11" s="45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2.75" customHeight="1" x14ac:dyDescent="0.25">
      <c r="A12" s="11"/>
      <c r="B12" s="27" t="s">
        <v>187</v>
      </c>
      <c r="C12" s="35" t="s">
        <v>188</v>
      </c>
      <c r="D12" s="27">
        <v>1</v>
      </c>
      <c r="E12" s="27">
        <v>0</v>
      </c>
      <c r="H12" s="11"/>
      <c r="I12" s="45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2.75" customHeight="1" x14ac:dyDescent="0.25">
      <c r="A13" s="11"/>
      <c r="B13" s="27" t="s">
        <v>189</v>
      </c>
      <c r="C13" s="35" t="s">
        <v>190</v>
      </c>
      <c r="D13" s="27">
        <v>1</v>
      </c>
      <c r="E13" s="27">
        <v>0</v>
      </c>
      <c r="H13" s="11"/>
      <c r="I13" s="45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2.75" customHeight="1" x14ac:dyDescent="0.25">
      <c r="A14" s="11"/>
      <c r="B14" s="27" t="s">
        <v>191</v>
      </c>
      <c r="C14" s="35" t="s">
        <v>192</v>
      </c>
      <c r="D14" s="27">
        <v>0.5</v>
      </c>
      <c r="E14" s="27">
        <v>5</v>
      </c>
      <c r="H14" s="11"/>
      <c r="I14" s="45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2.75" customHeight="1" x14ac:dyDescent="0.25">
      <c r="A15" s="11"/>
      <c r="B15" s="27" t="s">
        <v>193</v>
      </c>
      <c r="C15" s="35" t="s">
        <v>194</v>
      </c>
      <c r="D15" s="27">
        <v>0.5</v>
      </c>
      <c r="E15" s="27">
        <v>5</v>
      </c>
      <c r="H15" s="11"/>
      <c r="I15" s="45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2.75" customHeight="1" x14ac:dyDescent="0.25">
      <c r="A16" s="11"/>
      <c r="B16" s="27" t="s">
        <v>195</v>
      </c>
      <c r="C16" s="35" t="s">
        <v>196</v>
      </c>
      <c r="D16" s="27">
        <v>2</v>
      </c>
      <c r="E16" s="27">
        <v>4</v>
      </c>
      <c r="H16" s="11"/>
      <c r="I16" s="45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2.75" customHeight="1" x14ac:dyDescent="0.25">
      <c r="A17" s="11"/>
      <c r="B17" s="27" t="s">
        <v>197</v>
      </c>
      <c r="C17" s="35" t="s">
        <v>198</v>
      </c>
      <c r="D17" s="27">
        <v>1</v>
      </c>
      <c r="E17" s="27">
        <v>5</v>
      </c>
      <c r="H17" s="11"/>
      <c r="I17" s="45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2.75" customHeight="1" x14ac:dyDescent="0.25">
      <c r="A18" s="11"/>
      <c r="B18" s="27" t="s">
        <v>199</v>
      </c>
      <c r="C18" s="35" t="s">
        <v>200</v>
      </c>
      <c r="D18" s="27">
        <v>1</v>
      </c>
      <c r="E18" s="27">
        <v>0</v>
      </c>
      <c r="H18" s="11"/>
      <c r="I18" s="45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2.75" customHeight="1" x14ac:dyDescent="0.25">
      <c r="A19" s="11"/>
      <c r="B19" s="27" t="s">
        <v>201</v>
      </c>
      <c r="C19" s="35" t="s">
        <v>202</v>
      </c>
      <c r="D19" s="27">
        <v>1</v>
      </c>
      <c r="E19" s="27">
        <v>5</v>
      </c>
      <c r="H19" s="11"/>
      <c r="I19" s="45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2.75" customHeight="1" x14ac:dyDescent="0.25">
      <c r="A20" s="11"/>
      <c r="B20" s="27" t="s">
        <v>203</v>
      </c>
      <c r="C20" s="35" t="s">
        <v>204</v>
      </c>
      <c r="D20" s="27">
        <v>1</v>
      </c>
      <c r="E20" s="27">
        <v>0</v>
      </c>
      <c r="H20" s="11"/>
      <c r="I20" s="45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2.75" customHeight="1" x14ac:dyDescent="0.25">
      <c r="A21" s="11"/>
      <c r="B21" s="27" t="s">
        <v>205</v>
      </c>
      <c r="C21" s="35" t="s">
        <v>206</v>
      </c>
      <c r="D21" s="27">
        <v>1</v>
      </c>
      <c r="E21" s="27">
        <v>0</v>
      </c>
      <c r="H21" s="11"/>
      <c r="I21" s="45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2.75" customHeight="1" x14ac:dyDescent="0.25">
      <c r="A22" s="11"/>
      <c r="B22" s="132" t="s">
        <v>207</v>
      </c>
      <c r="C22" s="105"/>
      <c r="D22" s="106"/>
      <c r="E22" s="62">
        <f>0.6+(0.01*SUM(D9*E9,D10*E10,D11*E11,D12*E12,D13*E13,D14*E14,D15*E15,D16*E16,D17*E17,D18*E18,D19*E19,D20*E20,D21*E21))</f>
        <v>0.86</v>
      </c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2.75" customHeight="1" x14ac:dyDescent="0.25">
      <c r="A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2.75" customHeight="1" x14ac:dyDescent="0.25">
      <c r="A24" s="11"/>
      <c r="H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2.75" customHeight="1" x14ac:dyDescent="0.25">
      <c r="A25" s="11"/>
      <c r="H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2.75" customHeight="1" x14ac:dyDescent="0.25">
      <c r="A26" s="11"/>
      <c r="B26" s="133" t="s">
        <v>208</v>
      </c>
      <c r="C26" s="105"/>
      <c r="D26" s="105"/>
      <c r="E26" s="134"/>
      <c r="F26" s="63"/>
      <c r="G26" s="64"/>
      <c r="H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2.75" customHeight="1" x14ac:dyDescent="0.25">
      <c r="A27" s="11"/>
      <c r="B27" s="65" t="s">
        <v>50</v>
      </c>
      <c r="C27" s="135" t="s">
        <v>179</v>
      </c>
      <c r="D27" s="102"/>
      <c r="E27" s="103"/>
      <c r="F27" s="65" t="s">
        <v>34</v>
      </c>
      <c r="G27" s="65" t="s">
        <v>180</v>
      </c>
      <c r="H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2.75" customHeight="1" x14ac:dyDescent="0.25">
      <c r="A28" s="11"/>
      <c r="B28" s="27" t="s">
        <v>209</v>
      </c>
      <c r="C28" s="131" t="s">
        <v>210</v>
      </c>
      <c r="D28" s="105"/>
      <c r="E28" s="106"/>
      <c r="F28" s="27">
        <v>1.5</v>
      </c>
      <c r="G28" s="27">
        <v>1</v>
      </c>
      <c r="H28" s="11"/>
      <c r="I28" s="45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2.75" customHeight="1" x14ac:dyDescent="0.25">
      <c r="A29" s="11"/>
      <c r="B29" s="27" t="s">
        <v>211</v>
      </c>
      <c r="C29" s="131" t="s">
        <v>212</v>
      </c>
      <c r="D29" s="105"/>
      <c r="E29" s="106"/>
      <c r="F29" s="27">
        <v>0.5</v>
      </c>
      <c r="G29" s="27">
        <v>0</v>
      </c>
      <c r="H29" s="11"/>
      <c r="I29" s="45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2.75" customHeight="1" x14ac:dyDescent="0.25">
      <c r="A30" s="11"/>
      <c r="B30" s="27" t="s">
        <v>213</v>
      </c>
      <c r="C30" s="131" t="s">
        <v>214</v>
      </c>
      <c r="D30" s="105"/>
      <c r="E30" s="106"/>
      <c r="F30" s="27">
        <v>1</v>
      </c>
      <c r="G30" s="27">
        <v>2</v>
      </c>
      <c r="H30" s="11"/>
      <c r="I30" s="45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2.75" customHeight="1" x14ac:dyDescent="0.25">
      <c r="A31" s="11"/>
      <c r="B31" s="27" t="s">
        <v>215</v>
      </c>
      <c r="C31" s="131" t="s">
        <v>216</v>
      </c>
      <c r="D31" s="105"/>
      <c r="E31" s="106"/>
      <c r="F31" s="27">
        <v>0.5</v>
      </c>
      <c r="G31" s="27">
        <v>0</v>
      </c>
      <c r="H31" s="11"/>
      <c r="I31" s="45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2.75" customHeight="1" x14ac:dyDescent="0.25">
      <c r="A32" s="11"/>
      <c r="B32" s="27" t="s">
        <v>217</v>
      </c>
      <c r="C32" s="131" t="s">
        <v>218</v>
      </c>
      <c r="D32" s="105"/>
      <c r="E32" s="106"/>
      <c r="F32" s="27">
        <v>1</v>
      </c>
      <c r="G32" s="27">
        <v>3</v>
      </c>
      <c r="H32" s="11"/>
      <c r="I32" s="45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2.75" customHeight="1" x14ac:dyDescent="0.25">
      <c r="A33" s="11"/>
      <c r="B33" s="27" t="s">
        <v>219</v>
      </c>
      <c r="C33" s="131" t="s">
        <v>220</v>
      </c>
      <c r="D33" s="105"/>
      <c r="E33" s="106"/>
      <c r="F33" s="27">
        <v>2</v>
      </c>
      <c r="G33" s="27">
        <v>5</v>
      </c>
      <c r="H33" s="11"/>
      <c r="I33" s="45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2.75" customHeight="1" x14ac:dyDescent="0.25">
      <c r="A34" s="11"/>
      <c r="B34" s="27" t="s">
        <v>221</v>
      </c>
      <c r="C34" s="131" t="s">
        <v>222</v>
      </c>
      <c r="D34" s="105"/>
      <c r="E34" s="106"/>
      <c r="F34" s="27">
        <v>-1</v>
      </c>
      <c r="G34" s="27">
        <v>5</v>
      </c>
      <c r="H34" s="11"/>
      <c r="I34" s="45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2.75" customHeight="1" x14ac:dyDescent="0.25">
      <c r="A35" s="11"/>
      <c r="B35" s="27" t="s">
        <v>223</v>
      </c>
      <c r="C35" s="131" t="s">
        <v>224</v>
      </c>
      <c r="D35" s="105"/>
      <c r="E35" s="106"/>
      <c r="F35" s="27">
        <v>-1</v>
      </c>
      <c r="G35" s="27">
        <v>3</v>
      </c>
      <c r="H35" s="11"/>
      <c r="I35" s="45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2.75" customHeight="1" x14ac:dyDescent="0.25">
      <c r="A36" s="11"/>
      <c r="B36" s="132" t="s">
        <v>225</v>
      </c>
      <c r="C36" s="105"/>
      <c r="D36" s="105"/>
      <c r="E36" s="105"/>
      <c r="F36" s="106"/>
      <c r="G36" s="34">
        <f>1.4+(-0.03*SUM(F28*G28,F29*G29,F30*G30,F31*G31,F32*G32,F33*G33,F34*G34,F35*G35))</f>
        <v>1.145</v>
      </c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2.75" customHeight="1" x14ac:dyDescent="0.2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2.75" customHeight="1" x14ac:dyDescent="0.2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2.75" customHeight="1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2.75" customHeight="1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2.75" customHeight="1" x14ac:dyDescent="0.2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2.75" customHeight="1" x14ac:dyDescent="0.2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2.75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2.75" customHeight="1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2.75" customHeight="1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2.75" customHeight="1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2.75" customHeight="1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2.75" customHeight="1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2.75" customHeight="1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2.75" customHeight="1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2.75" customHeight="1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2.75" customHeight="1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2.75" customHeight="1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2.75" customHeight="1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2.75" customHeight="1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2.75" customHeight="1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2.75" customHeight="1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2.75" customHeight="1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2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2.75" customHeight="1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2.75" customHeight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2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2.75" customHeight="1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2.75" customHeight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2.75" customHeight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2.75" customHeight="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2.75" customHeight="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2.75" customHeight="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2.75" customHeight="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2.75" customHeight="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2.75" customHeight="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2.75" customHeight="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2.75" customHeight="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2.75" customHeight="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2.75" customHeight="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2.75" customHeight="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2.75" customHeight="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2.75" customHeight="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2.75" customHeight="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2.75" customHeight="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2.75" customHeight="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2.75" customHeight="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2.75" customHeight="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2.75" customHeight="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2.75" customHeight="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2.75" customHeight="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2.75" customHeight="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2.75" customHeight="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2.75" customHeight="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2.75" customHeight="1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2.75" customHeight="1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2.75" customHeight="1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2.75" customHeight="1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2.75" customHeight="1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2.75" customHeight="1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2.75" customHeight="1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2.75" customHeight="1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2.75" customHeight="1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12.75" customHeight="1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12.75" customHeight="1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2.75" customHeight="1" x14ac:dyDescent="0.2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12.75" customHeight="1" x14ac:dyDescent="0.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2.75" customHeight="1" x14ac:dyDescent="0.2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2.75" customHeight="1" x14ac:dyDescent="0.2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2.75" customHeight="1" x14ac:dyDescent="0.2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2.75" customHeight="1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2.75" customHeight="1" x14ac:dyDescent="0.2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2.75" customHeight="1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2.75" customHeight="1" x14ac:dyDescent="0.2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2.75" customHeight="1" x14ac:dyDescent="0.2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2.75" customHeight="1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2.75" customHeight="1" x14ac:dyDescent="0.2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2.75" customHeight="1" x14ac:dyDescent="0.2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2.75" customHeight="1" x14ac:dyDescent="0.2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2.75" customHeight="1" x14ac:dyDescent="0.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2.75" customHeight="1" x14ac:dyDescent="0.2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2.75" customHeight="1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2.75" customHeight="1" x14ac:dyDescent="0.2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2.75" customHeight="1" x14ac:dyDescent="0.2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2.75" customHeight="1" x14ac:dyDescent="0.2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2.75" customHeight="1" x14ac:dyDescent="0.2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2.75" customHeight="1" x14ac:dyDescent="0.2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2.75" customHeight="1" x14ac:dyDescent="0.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2.75" customHeight="1" x14ac:dyDescent="0.2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2.75" customHeight="1" x14ac:dyDescent="0.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2.75" customHeight="1" x14ac:dyDescent="0.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2.75" customHeight="1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2.75" customHeight="1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2.75" customHeight="1" x14ac:dyDescent="0.2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2.75" customHeight="1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2.75" customHeight="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2.75" customHeight="1" x14ac:dyDescent="0.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2.75" customHeight="1" x14ac:dyDescent="0.2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12.75" customHeight="1" x14ac:dyDescent="0.2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2.75" customHeight="1" x14ac:dyDescent="0.2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2.75" customHeight="1" x14ac:dyDescent="0.2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12.75" customHeight="1" x14ac:dyDescent="0.2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12.75" customHeight="1" x14ac:dyDescent="0.2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2.75" customHeight="1" x14ac:dyDescent="0.2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12.75" customHeight="1" x14ac:dyDescent="0.2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2.75" customHeight="1" x14ac:dyDescent="0.2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2.75" customHeight="1" x14ac:dyDescent="0.2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2.75" customHeight="1" x14ac:dyDescent="0.2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2.75" customHeight="1" x14ac:dyDescent="0.2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2.75" customHeight="1" x14ac:dyDescent="0.2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2.75" customHeight="1" x14ac:dyDescent="0.2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2.75" customHeight="1" x14ac:dyDescent="0.2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2.75" customHeight="1" x14ac:dyDescent="0.2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2.75" customHeight="1" x14ac:dyDescent="0.2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2.75" customHeight="1" x14ac:dyDescent="0.2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2.75" customHeight="1" x14ac:dyDescent="0.2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2.75" customHeight="1" x14ac:dyDescent="0.2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2.75" customHeight="1" x14ac:dyDescent="0.2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2.75" customHeight="1" x14ac:dyDescent="0.2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2.75" customHeight="1" x14ac:dyDescent="0.2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2.75" customHeight="1" x14ac:dyDescent="0.2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2.75" customHeight="1" x14ac:dyDescent="0.2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2.75" customHeight="1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2.75" customHeight="1" x14ac:dyDescent="0.2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2.75" customHeight="1" x14ac:dyDescent="0.2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2.75" customHeight="1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2.75" customHeight="1" x14ac:dyDescent="0.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2.75" customHeight="1" x14ac:dyDescent="0.2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2.75" customHeight="1" x14ac:dyDescent="0.2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2.75" customHeight="1" x14ac:dyDescent="0.2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2.75" customHeight="1" x14ac:dyDescent="0.2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2.75" customHeight="1" x14ac:dyDescent="0.2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2.75" customHeight="1" x14ac:dyDescent="0.2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2.75" customHeight="1" x14ac:dyDescent="0.2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2.75" customHeight="1" x14ac:dyDescent="0.2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2.75" customHeight="1" x14ac:dyDescent="0.2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2.75" customHeight="1" x14ac:dyDescent="0.2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2.75" customHeight="1" x14ac:dyDescent="0.2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2.75" customHeight="1" x14ac:dyDescent="0.2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12.75" customHeight="1" x14ac:dyDescent="0.2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2.75" customHeight="1" x14ac:dyDescent="0.2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12.75" customHeight="1" x14ac:dyDescent="0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2.75" customHeight="1" x14ac:dyDescent="0.2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2.75" customHeight="1" x14ac:dyDescent="0.2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12.75" customHeight="1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2.75" customHeight="1" x14ac:dyDescent="0.2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2.75" customHeight="1" x14ac:dyDescent="0.2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12.75" customHeight="1" x14ac:dyDescent="0.2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2.75" customHeight="1" x14ac:dyDescent="0.2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2.75" customHeight="1" x14ac:dyDescent="0.2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2.75" customHeight="1" x14ac:dyDescent="0.2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12.75" customHeight="1" x14ac:dyDescent="0.2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2.75" customHeight="1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12.75" customHeight="1" x14ac:dyDescent="0.2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2.75" customHeight="1" x14ac:dyDescent="0.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2.75" customHeight="1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2.75" customHeight="1" x14ac:dyDescent="0.2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2.75" customHeight="1" x14ac:dyDescent="0.2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2.75" customHeight="1" x14ac:dyDescent="0.2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2.75" customHeight="1" x14ac:dyDescent="0.2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2.75" customHeight="1" x14ac:dyDescent="0.2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2.75" customHeight="1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2.75" customHeight="1" x14ac:dyDescent="0.2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2.75" customHeight="1" x14ac:dyDescent="0.2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12.75" customHeight="1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2.75" customHeight="1" x14ac:dyDescent="0.2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2.75" customHeight="1" x14ac:dyDescent="0.2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2.75" customHeight="1" x14ac:dyDescent="0.2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2.75" customHeight="1" x14ac:dyDescent="0.2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2.75" customHeight="1" x14ac:dyDescent="0.2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2.75" customHeight="1" x14ac:dyDescent="0.2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2.75" customHeight="1" x14ac:dyDescent="0.2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2.75" customHeight="1" x14ac:dyDescent="0.2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2.75" customHeight="1" x14ac:dyDescent="0.2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2.75" customHeight="1" x14ac:dyDescent="0.2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2.75" customHeight="1" x14ac:dyDescent="0.2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2.75" customHeight="1" x14ac:dyDescent="0.2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2.75" customHeight="1" x14ac:dyDescent="0.2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2.75" customHeight="1" x14ac:dyDescent="0.2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2.75" customHeight="1" x14ac:dyDescent="0.2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2.75" customHeight="1" x14ac:dyDescent="0.2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2.75" customHeight="1" x14ac:dyDescent="0.2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2.75" customHeight="1" x14ac:dyDescent="0.2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2.75" customHeight="1" x14ac:dyDescent="0.2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2.75" customHeight="1" x14ac:dyDescent="0.2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12.75" customHeight="1" x14ac:dyDescent="0.2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12.75" customHeight="1" x14ac:dyDescent="0.2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12.75" customHeight="1" x14ac:dyDescent="0.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2.75" customHeight="1" x14ac:dyDescent="0.2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12.75" customHeight="1" x14ac:dyDescent="0.2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2.75" customHeight="1" x14ac:dyDescent="0.2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12.75" customHeight="1" x14ac:dyDescent="0.2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2.75" customHeight="1" x14ac:dyDescent="0.2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12.75" customHeight="1" x14ac:dyDescent="0.2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12.75" customHeight="1" x14ac:dyDescent="0.2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12.75" customHeight="1" x14ac:dyDescent="0.2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2.75" customHeight="1" x14ac:dyDescent="0.2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2.75" customHeight="1" x14ac:dyDescent="0.2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2.75" customHeight="1" x14ac:dyDescent="0.2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2.75" customHeight="1" x14ac:dyDescent="0.2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2.75" customHeight="1" x14ac:dyDescent="0.2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2.75" customHeight="1" x14ac:dyDescent="0.2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2.75" customHeight="1" x14ac:dyDescent="0.2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2.75" customHeight="1" x14ac:dyDescent="0.2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2.75" customHeight="1" x14ac:dyDescent="0.2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2.75" customHeight="1" x14ac:dyDescent="0.2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2.75" customHeight="1" x14ac:dyDescent="0.2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2.75" customHeight="1" x14ac:dyDescent="0.2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12.75" customHeight="1" x14ac:dyDescent="0.2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12.75" customHeight="1" x14ac:dyDescent="0.2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2.75" customHeight="1" x14ac:dyDescent="0.2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2.75" customHeight="1" x14ac:dyDescent="0.2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2.75" customHeight="1" x14ac:dyDescent="0.2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2.75" customHeight="1" x14ac:dyDescent="0.2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12.75" customHeight="1" x14ac:dyDescent="0.2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12.75" customHeight="1" x14ac:dyDescent="0.2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2.75" customHeight="1" x14ac:dyDescent="0.2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2.75" customHeight="1" x14ac:dyDescent="0.2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2.75" customHeight="1" x14ac:dyDescent="0.2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2.75" customHeight="1" x14ac:dyDescent="0.2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2.75" customHeight="1" x14ac:dyDescent="0.2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2.75" customHeight="1" x14ac:dyDescent="0.2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2.75" customHeight="1" x14ac:dyDescent="0.2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2.75" customHeight="1" x14ac:dyDescent="0.2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2.75" customHeight="1" x14ac:dyDescent="0.2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2.75" customHeight="1" x14ac:dyDescent="0.2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2.75" customHeight="1" x14ac:dyDescent="0.2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2.75" customHeight="1" x14ac:dyDescent="0.2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2.75" customHeight="1" x14ac:dyDescent="0.2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2.75" customHeight="1" x14ac:dyDescent="0.2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2.75" customHeight="1" x14ac:dyDescent="0.2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2.75" customHeight="1" x14ac:dyDescent="0.2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2.75" customHeight="1" x14ac:dyDescent="0.2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2.75" customHeight="1" x14ac:dyDescent="0.2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2.75" customHeight="1" x14ac:dyDescent="0.2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2.75" customHeight="1" x14ac:dyDescent="0.2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2.75" customHeight="1" x14ac:dyDescent="0.2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2.75" customHeight="1" x14ac:dyDescent="0.2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2.75" customHeight="1" x14ac:dyDescent="0.2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2.75" customHeight="1" x14ac:dyDescent="0.2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2.75" customHeight="1" x14ac:dyDescent="0.2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2.75" customHeight="1" x14ac:dyDescent="0.2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2.75" customHeight="1" x14ac:dyDescent="0.2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2.75" customHeight="1" x14ac:dyDescent="0.2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2.75" customHeight="1" x14ac:dyDescent="0.2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2.75" customHeight="1" x14ac:dyDescent="0.2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2.75" customHeight="1" x14ac:dyDescent="0.2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2.75" customHeight="1" x14ac:dyDescent="0.2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2.75" customHeight="1" x14ac:dyDescent="0.2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2.75" customHeight="1" x14ac:dyDescent="0.2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12.75" customHeight="1" x14ac:dyDescent="0.2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12.75" customHeight="1" x14ac:dyDescent="0.2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12.75" customHeight="1" x14ac:dyDescent="0.2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12.75" customHeight="1" x14ac:dyDescent="0.2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12.75" customHeight="1" x14ac:dyDescent="0.2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12.75" customHeight="1" x14ac:dyDescent="0.2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2.75" customHeight="1" x14ac:dyDescent="0.2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2.75" customHeight="1" x14ac:dyDescent="0.2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2.75" customHeight="1" x14ac:dyDescent="0.2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2.75" customHeight="1" x14ac:dyDescent="0.2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2.75" customHeight="1" x14ac:dyDescent="0.2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2.75" customHeight="1" x14ac:dyDescent="0.2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2.75" customHeight="1" x14ac:dyDescent="0.2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2.75" customHeight="1" x14ac:dyDescent="0.2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2.75" customHeight="1" x14ac:dyDescent="0.2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2.75" customHeight="1" x14ac:dyDescent="0.2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2.75" customHeight="1" x14ac:dyDescent="0.2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12.75" customHeight="1" x14ac:dyDescent="0.2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12.75" customHeight="1" x14ac:dyDescent="0.2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12.75" customHeight="1" x14ac:dyDescent="0.2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12.75" customHeight="1" x14ac:dyDescent="0.2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12.75" customHeight="1" x14ac:dyDescent="0.2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12.75" customHeight="1" x14ac:dyDescent="0.2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12.75" customHeight="1" x14ac:dyDescent="0.2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12.75" customHeight="1" x14ac:dyDescent="0.2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12.75" customHeight="1" x14ac:dyDescent="0.2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12.75" customHeight="1" x14ac:dyDescent="0.2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2.75" customHeight="1" x14ac:dyDescent="0.2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12.75" customHeight="1" x14ac:dyDescent="0.2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12.75" customHeight="1" x14ac:dyDescent="0.2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12.75" customHeight="1" x14ac:dyDescent="0.2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2.75" customHeight="1" x14ac:dyDescent="0.2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12.75" customHeight="1" x14ac:dyDescent="0.2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12.75" customHeight="1" x14ac:dyDescent="0.2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12.75" customHeight="1" x14ac:dyDescent="0.2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12.75" customHeight="1" x14ac:dyDescent="0.2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2.75" customHeight="1" x14ac:dyDescent="0.2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12.75" customHeight="1" x14ac:dyDescent="0.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12.75" customHeight="1" x14ac:dyDescent="0.2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12.75" customHeight="1" x14ac:dyDescent="0.2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12.75" customHeight="1" x14ac:dyDescent="0.2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12.75" customHeight="1" x14ac:dyDescent="0.2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12.75" customHeight="1" x14ac:dyDescent="0.2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12.75" customHeight="1" x14ac:dyDescent="0.2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12.75" customHeight="1" x14ac:dyDescent="0.2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2.75" customHeight="1" x14ac:dyDescent="0.2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12.75" customHeight="1" x14ac:dyDescent="0.2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12.75" customHeight="1" x14ac:dyDescent="0.2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12.75" customHeight="1" x14ac:dyDescent="0.2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2.75" customHeight="1" x14ac:dyDescent="0.2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12.75" customHeight="1" x14ac:dyDescent="0.2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12.75" customHeight="1" x14ac:dyDescent="0.2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12.75" customHeight="1" x14ac:dyDescent="0.2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2.75" customHeight="1" x14ac:dyDescent="0.2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12.75" customHeight="1" x14ac:dyDescent="0.2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12.75" customHeight="1" x14ac:dyDescent="0.2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2.75" customHeight="1" x14ac:dyDescent="0.2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12.75" customHeight="1" x14ac:dyDescent="0.2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12.75" customHeight="1" x14ac:dyDescent="0.2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12.75" customHeight="1" x14ac:dyDescent="0.2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12.75" customHeight="1" x14ac:dyDescent="0.2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2.75" customHeight="1" x14ac:dyDescent="0.2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12.75" customHeight="1" x14ac:dyDescent="0.2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12.75" customHeight="1" x14ac:dyDescent="0.2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12.75" customHeight="1" x14ac:dyDescent="0.2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12.75" customHeight="1" x14ac:dyDescent="0.2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12.75" customHeight="1" x14ac:dyDescent="0.2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12.75" customHeight="1" x14ac:dyDescent="0.2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12.75" customHeight="1" x14ac:dyDescent="0.2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12.75" customHeight="1" x14ac:dyDescent="0.2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12.75" customHeight="1" x14ac:dyDescent="0.2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12.75" customHeight="1" x14ac:dyDescent="0.2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12.75" customHeight="1" x14ac:dyDescent="0.2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12.75" customHeight="1" x14ac:dyDescent="0.2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12.75" customHeight="1" x14ac:dyDescent="0.2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12.75" customHeight="1" x14ac:dyDescent="0.2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12.75" customHeight="1" x14ac:dyDescent="0.2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12.75" customHeight="1" x14ac:dyDescent="0.2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12.75" customHeight="1" x14ac:dyDescent="0.2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12.75" customHeight="1" x14ac:dyDescent="0.2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12.75" customHeight="1" x14ac:dyDescent="0.2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2.75" customHeight="1" x14ac:dyDescent="0.2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2.75" customHeight="1" x14ac:dyDescent="0.2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12.75" customHeight="1" x14ac:dyDescent="0.2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12.75" customHeight="1" x14ac:dyDescent="0.2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12.75" customHeight="1" x14ac:dyDescent="0.2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12.75" customHeight="1" x14ac:dyDescent="0.2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12.75" customHeight="1" x14ac:dyDescent="0.2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12.75" customHeight="1" x14ac:dyDescent="0.2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12.75" customHeight="1" x14ac:dyDescent="0.2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12.75" customHeight="1" x14ac:dyDescent="0.2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12.75" customHeight="1" x14ac:dyDescent="0.2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12.75" customHeight="1" x14ac:dyDescent="0.2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12.75" customHeight="1" x14ac:dyDescent="0.2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12.75" customHeight="1" x14ac:dyDescent="0.2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12.75" customHeight="1" x14ac:dyDescent="0.2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12.75" customHeight="1" x14ac:dyDescent="0.2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12.75" customHeight="1" x14ac:dyDescent="0.2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2.75" customHeight="1" x14ac:dyDescent="0.2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2.75" customHeight="1" x14ac:dyDescent="0.2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2.75" customHeight="1" x14ac:dyDescent="0.2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2.75" customHeight="1" x14ac:dyDescent="0.2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2.75" customHeight="1" x14ac:dyDescent="0.2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2.75" customHeight="1" x14ac:dyDescent="0.2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2.75" customHeight="1" x14ac:dyDescent="0.2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2.75" customHeight="1" x14ac:dyDescent="0.2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2.75" customHeight="1" x14ac:dyDescent="0.2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2.75" customHeight="1" x14ac:dyDescent="0.2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2.75" customHeight="1" x14ac:dyDescent="0.2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2.75" customHeight="1" x14ac:dyDescent="0.2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2.75" customHeight="1" x14ac:dyDescent="0.2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2.75" customHeight="1" x14ac:dyDescent="0.2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2.75" customHeight="1" x14ac:dyDescent="0.2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2.75" customHeight="1" x14ac:dyDescent="0.2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2.75" customHeight="1" x14ac:dyDescent="0.2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2.75" customHeight="1" x14ac:dyDescent="0.2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2.75" customHeight="1" x14ac:dyDescent="0.2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2.75" customHeight="1" x14ac:dyDescent="0.2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2.75" customHeight="1" x14ac:dyDescent="0.2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2.75" customHeight="1" x14ac:dyDescent="0.2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2.75" customHeight="1" x14ac:dyDescent="0.2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2.75" customHeight="1" x14ac:dyDescent="0.2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2.75" customHeight="1" x14ac:dyDescent="0.2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2.75" customHeight="1" x14ac:dyDescent="0.2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2.75" customHeight="1" x14ac:dyDescent="0.2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2.75" customHeight="1" x14ac:dyDescent="0.2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2.75" customHeight="1" x14ac:dyDescent="0.2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2.75" customHeight="1" x14ac:dyDescent="0.2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2.75" customHeight="1" x14ac:dyDescent="0.2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2.75" customHeight="1" x14ac:dyDescent="0.2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2.75" customHeight="1" x14ac:dyDescent="0.2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2.75" customHeight="1" x14ac:dyDescent="0.2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2.75" customHeight="1" x14ac:dyDescent="0.2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2.75" customHeight="1" x14ac:dyDescent="0.2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2.75" customHeight="1" x14ac:dyDescent="0.2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2.75" customHeight="1" x14ac:dyDescent="0.2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2.75" customHeight="1" x14ac:dyDescent="0.2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2.75" customHeight="1" x14ac:dyDescent="0.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2.75" customHeight="1" x14ac:dyDescent="0.2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2.75" customHeight="1" x14ac:dyDescent="0.2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2.75" customHeight="1" x14ac:dyDescent="0.2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2.75" customHeight="1" x14ac:dyDescent="0.2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2.75" customHeight="1" x14ac:dyDescent="0.2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2.75" customHeight="1" x14ac:dyDescent="0.2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2.75" customHeight="1" x14ac:dyDescent="0.2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2.75" customHeight="1" x14ac:dyDescent="0.2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2.75" customHeight="1" x14ac:dyDescent="0.2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2.75" customHeight="1" x14ac:dyDescent="0.2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2.75" customHeight="1" x14ac:dyDescent="0.2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2.75" customHeight="1" x14ac:dyDescent="0.2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2.75" customHeight="1" x14ac:dyDescent="0.2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2.75" customHeight="1" x14ac:dyDescent="0.2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2.75" customHeight="1" x14ac:dyDescent="0.2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2.75" customHeight="1" x14ac:dyDescent="0.2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2.75" customHeight="1" x14ac:dyDescent="0.2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2.75" customHeight="1" x14ac:dyDescent="0.2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2.75" customHeight="1" x14ac:dyDescent="0.2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2.75" customHeight="1" x14ac:dyDescent="0.2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2.75" customHeight="1" x14ac:dyDescent="0.2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2.75" customHeight="1" x14ac:dyDescent="0.2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2.75" customHeight="1" x14ac:dyDescent="0.2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2.75" customHeight="1" x14ac:dyDescent="0.2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2.75" customHeight="1" x14ac:dyDescent="0.2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2.75" customHeight="1" x14ac:dyDescent="0.2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2.75" customHeight="1" x14ac:dyDescent="0.2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2.75" customHeight="1" x14ac:dyDescent="0.2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2.75" customHeight="1" x14ac:dyDescent="0.2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2.75" customHeight="1" x14ac:dyDescent="0.2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2.75" customHeight="1" x14ac:dyDescent="0.2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2.75" customHeight="1" x14ac:dyDescent="0.2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2.75" customHeight="1" x14ac:dyDescent="0.2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2.75" customHeight="1" x14ac:dyDescent="0.2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2.75" customHeight="1" x14ac:dyDescent="0.2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2.75" customHeight="1" x14ac:dyDescent="0.2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2.75" customHeight="1" x14ac:dyDescent="0.2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2.75" customHeight="1" x14ac:dyDescent="0.2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2.75" customHeight="1" x14ac:dyDescent="0.2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2.75" customHeight="1" x14ac:dyDescent="0.2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2.75" customHeight="1" x14ac:dyDescent="0.2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2.75" customHeight="1" x14ac:dyDescent="0.2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2.75" customHeight="1" x14ac:dyDescent="0.2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2.75" customHeight="1" x14ac:dyDescent="0.2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2.75" customHeight="1" x14ac:dyDescent="0.2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2.75" customHeight="1" x14ac:dyDescent="0.2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2.75" customHeight="1" x14ac:dyDescent="0.2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2.75" customHeight="1" x14ac:dyDescent="0.2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2.75" customHeight="1" x14ac:dyDescent="0.2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2.75" customHeight="1" x14ac:dyDescent="0.2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2.75" customHeight="1" x14ac:dyDescent="0.2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2.75" customHeight="1" x14ac:dyDescent="0.2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2.75" customHeight="1" x14ac:dyDescent="0.2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2.75" customHeight="1" x14ac:dyDescent="0.2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2.75" customHeight="1" x14ac:dyDescent="0.2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2.75" customHeight="1" x14ac:dyDescent="0.2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2.75" customHeight="1" x14ac:dyDescent="0.2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2.75" customHeight="1" x14ac:dyDescent="0.2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2.75" customHeight="1" x14ac:dyDescent="0.2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2.75" customHeight="1" x14ac:dyDescent="0.2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2.75" customHeight="1" x14ac:dyDescent="0.2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2.75" customHeight="1" x14ac:dyDescent="0.2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2.75" customHeight="1" x14ac:dyDescent="0.2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2.75" customHeight="1" x14ac:dyDescent="0.2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2.75" customHeight="1" x14ac:dyDescent="0.2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2.75" customHeight="1" x14ac:dyDescent="0.2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2.75" customHeight="1" x14ac:dyDescent="0.2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2.75" customHeight="1" x14ac:dyDescent="0.2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2.75" customHeight="1" x14ac:dyDescent="0.2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2.75" customHeight="1" x14ac:dyDescent="0.2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2.75" customHeight="1" x14ac:dyDescent="0.2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2.75" customHeight="1" x14ac:dyDescent="0.2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2.75" customHeight="1" x14ac:dyDescent="0.2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2.75" customHeight="1" x14ac:dyDescent="0.2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2.75" customHeight="1" x14ac:dyDescent="0.2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2.75" customHeight="1" x14ac:dyDescent="0.2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2.75" customHeight="1" x14ac:dyDescent="0.2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2.75" customHeight="1" x14ac:dyDescent="0.2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2.75" customHeight="1" x14ac:dyDescent="0.2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2.75" customHeight="1" x14ac:dyDescent="0.2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2.75" customHeight="1" x14ac:dyDescent="0.2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2.75" customHeight="1" x14ac:dyDescent="0.2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2.75" customHeight="1" x14ac:dyDescent="0.2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2.75" customHeight="1" x14ac:dyDescent="0.2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2.75" customHeight="1" x14ac:dyDescent="0.2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2.75" customHeight="1" x14ac:dyDescent="0.2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2.75" customHeight="1" x14ac:dyDescent="0.2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2.75" customHeight="1" x14ac:dyDescent="0.2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2.75" customHeight="1" x14ac:dyDescent="0.2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2.75" customHeight="1" x14ac:dyDescent="0.2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2.75" customHeight="1" x14ac:dyDescent="0.2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2.75" customHeight="1" x14ac:dyDescent="0.2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2.75" customHeight="1" x14ac:dyDescent="0.2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2.75" customHeight="1" x14ac:dyDescent="0.2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2.75" customHeight="1" x14ac:dyDescent="0.2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2.75" customHeight="1" x14ac:dyDescent="0.2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2.75" customHeight="1" x14ac:dyDescent="0.2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2.75" customHeight="1" x14ac:dyDescent="0.2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2.75" customHeight="1" x14ac:dyDescent="0.2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2.75" customHeight="1" x14ac:dyDescent="0.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2.75" customHeight="1" x14ac:dyDescent="0.2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2.75" customHeight="1" x14ac:dyDescent="0.2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2.75" customHeight="1" x14ac:dyDescent="0.2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2.75" customHeight="1" x14ac:dyDescent="0.2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2.75" customHeight="1" x14ac:dyDescent="0.2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2.75" customHeight="1" x14ac:dyDescent="0.2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2.75" customHeight="1" x14ac:dyDescent="0.2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2.75" customHeight="1" x14ac:dyDescent="0.2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2.75" customHeight="1" x14ac:dyDescent="0.2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2.75" customHeight="1" x14ac:dyDescent="0.2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2.75" customHeight="1" x14ac:dyDescent="0.2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2.75" customHeight="1" x14ac:dyDescent="0.2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2.75" customHeight="1" x14ac:dyDescent="0.2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2.75" customHeight="1" x14ac:dyDescent="0.2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2.75" customHeight="1" x14ac:dyDescent="0.2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2.75" customHeight="1" x14ac:dyDescent="0.2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2.75" customHeight="1" x14ac:dyDescent="0.2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2.75" customHeight="1" x14ac:dyDescent="0.2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2.75" customHeight="1" x14ac:dyDescent="0.2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2.75" customHeight="1" x14ac:dyDescent="0.2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2.75" customHeight="1" x14ac:dyDescent="0.2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2.75" customHeight="1" x14ac:dyDescent="0.2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2.75" customHeight="1" x14ac:dyDescent="0.2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2.75" customHeight="1" x14ac:dyDescent="0.2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2.75" customHeight="1" x14ac:dyDescent="0.2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2.75" customHeight="1" x14ac:dyDescent="0.2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2.75" customHeight="1" x14ac:dyDescent="0.2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2.75" customHeight="1" x14ac:dyDescent="0.2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2.75" customHeight="1" x14ac:dyDescent="0.2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2.75" customHeight="1" x14ac:dyDescent="0.2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2.75" customHeight="1" x14ac:dyDescent="0.2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2.75" customHeight="1" x14ac:dyDescent="0.2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2.75" customHeight="1" x14ac:dyDescent="0.2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2.75" customHeight="1" x14ac:dyDescent="0.2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2.75" customHeight="1" x14ac:dyDescent="0.2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2.75" customHeight="1" x14ac:dyDescent="0.2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2.75" customHeight="1" x14ac:dyDescent="0.2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2.75" customHeight="1" x14ac:dyDescent="0.2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2.75" customHeight="1" x14ac:dyDescent="0.2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2.75" customHeight="1" x14ac:dyDescent="0.2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2.75" customHeight="1" x14ac:dyDescent="0.2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2.75" customHeight="1" x14ac:dyDescent="0.2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2.75" customHeight="1" x14ac:dyDescent="0.2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2.75" customHeight="1" x14ac:dyDescent="0.2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2.75" customHeight="1" x14ac:dyDescent="0.2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2.75" customHeight="1" x14ac:dyDescent="0.2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2.75" customHeight="1" x14ac:dyDescent="0.2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2.75" customHeight="1" x14ac:dyDescent="0.2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2.75" customHeight="1" x14ac:dyDescent="0.2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2.75" customHeight="1" x14ac:dyDescent="0.2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2.75" customHeight="1" x14ac:dyDescent="0.2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2.75" customHeight="1" x14ac:dyDescent="0.2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2.75" customHeight="1" x14ac:dyDescent="0.2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2.75" customHeight="1" x14ac:dyDescent="0.2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2.75" customHeight="1" x14ac:dyDescent="0.2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2.75" customHeight="1" x14ac:dyDescent="0.2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2.75" customHeight="1" x14ac:dyDescent="0.2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2.75" customHeight="1" x14ac:dyDescent="0.2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2.75" customHeight="1" x14ac:dyDescent="0.2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2.75" customHeight="1" x14ac:dyDescent="0.2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2.75" customHeight="1" x14ac:dyDescent="0.2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2.75" customHeight="1" x14ac:dyDescent="0.2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2.75" customHeight="1" x14ac:dyDescent="0.2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2.75" customHeight="1" x14ac:dyDescent="0.2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2.75" customHeight="1" x14ac:dyDescent="0.2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2.75" customHeight="1" x14ac:dyDescent="0.2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2.75" customHeight="1" x14ac:dyDescent="0.2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2.75" customHeight="1" x14ac:dyDescent="0.2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2.75" customHeight="1" x14ac:dyDescent="0.2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2.75" customHeight="1" x14ac:dyDescent="0.2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2.75" customHeight="1" x14ac:dyDescent="0.2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2.75" customHeight="1" x14ac:dyDescent="0.2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2.75" customHeight="1" x14ac:dyDescent="0.2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2.75" customHeight="1" x14ac:dyDescent="0.2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2.75" customHeight="1" x14ac:dyDescent="0.2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2.75" customHeight="1" x14ac:dyDescent="0.2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2.75" customHeight="1" x14ac:dyDescent="0.2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2.75" customHeight="1" x14ac:dyDescent="0.2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2.75" customHeight="1" x14ac:dyDescent="0.2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2.75" customHeight="1" x14ac:dyDescent="0.2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2.75" customHeight="1" x14ac:dyDescent="0.2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2.75" customHeight="1" x14ac:dyDescent="0.2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2.75" customHeight="1" x14ac:dyDescent="0.2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2.75" customHeight="1" x14ac:dyDescent="0.2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2.75" customHeight="1" x14ac:dyDescent="0.2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2.75" customHeight="1" x14ac:dyDescent="0.2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2.75" customHeight="1" x14ac:dyDescent="0.2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2.75" customHeight="1" x14ac:dyDescent="0.2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2.75" customHeight="1" x14ac:dyDescent="0.2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2.75" customHeight="1" x14ac:dyDescent="0.2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2.75" customHeight="1" x14ac:dyDescent="0.2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2.75" customHeight="1" x14ac:dyDescent="0.2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2.75" customHeight="1" x14ac:dyDescent="0.2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2.75" customHeight="1" x14ac:dyDescent="0.2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2.75" customHeight="1" x14ac:dyDescent="0.2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2.75" customHeight="1" x14ac:dyDescent="0.2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2.75" customHeight="1" x14ac:dyDescent="0.2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2.75" customHeight="1" x14ac:dyDescent="0.2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2.75" customHeight="1" x14ac:dyDescent="0.2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2.75" customHeight="1" x14ac:dyDescent="0.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2.75" customHeight="1" x14ac:dyDescent="0.2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2.75" customHeight="1" x14ac:dyDescent="0.2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2.75" customHeight="1" x14ac:dyDescent="0.2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2.75" customHeight="1" x14ac:dyDescent="0.2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2.75" customHeight="1" x14ac:dyDescent="0.2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2.75" customHeight="1" x14ac:dyDescent="0.2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2.75" customHeight="1" x14ac:dyDescent="0.2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2.75" customHeight="1" x14ac:dyDescent="0.2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2.75" customHeight="1" x14ac:dyDescent="0.2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2.75" customHeight="1" x14ac:dyDescent="0.2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2.75" customHeight="1" x14ac:dyDescent="0.2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2.75" customHeight="1" x14ac:dyDescent="0.2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2.75" customHeight="1" x14ac:dyDescent="0.2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2.75" customHeight="1" x14ac:dyDescent="0.2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2.75" customHeight="1" x14ac:dyDescent="0.2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2.75" customHeight="1" x14ac:dyDescent="0.2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2.75" customHeight="1" x14ac:dyDescent="0.2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2.75" customHeight="1" x14ac:dyDescent="0.2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2.75" customHeight="1" x14ac:dyDescent="0.2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2.75" customHeight="1" x14ac:dyDescent="0.2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2.75" customHeight="1" x14ac:dyDescent="0.2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2.75" customHeight="1" x14ac:dyDescent="0.2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2.75" customHeight="1" x14ac:dyDescent="0.2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2.75" customHeight="1" x14ac:dyDescent="0.2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2.75" customHeight="1" x14ac:dyDescent="0.2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2.75" customHeight="1" x14ac:dyDescent="0.2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2.75" customHeight="1" x14ac:dyDescent="0.2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2.75" customHeight="1" x14ac:dyDescent="0.2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2.75" customHeight="1" x14ac:dyDescent="0.2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2.75" customHeight="1" x14ac:dyDescent="0.2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2.75" customHeight="1" x14ac:dyDescent="0.2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2.75" customHeight="1" x14ac:dyDescent="0.2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2.75" customHeight="1" x14ac:dyDescent="0.2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2.75" customHeight="1" x14ac:dyDescent="0.2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2.75" customHeight="1" x14ac:dyDescent="0.2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2.75" customHeight="1" x14ac:dyDescent="0.2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2.75" customHeight="1" x14ac:dyDescent="0.2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2.75" customHeight="1" x14ac:dyDescent="0.2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2.75" customHeight="1" x14ac:dyDescent="0.2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2.75" customHeight="1" x14ac:dyDescent="0.2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2.75" customHeight="1" x14ac:dyDescent="0.2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2.75" customHeight="1" x14ac:dyDescent="0.2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2.75" customHeight="1" x14ac:dyDescent="0.2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2.75" customHeight="1" x14ac:dyDescent="0.2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2.75" customHeight="1" x14ac:dyDescent="0.2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2.75" customHeight="1" x14ac:dyDescent="0.2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2.75" customHeight="1" x14ac:dyDescent="0.2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2.75" customHeight="1" x14ac:dyDescent="0.2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2.75" customHeight="1" x14ac:dyDescent="0.2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2.75" customHeight="1" x14ac:dyDescent="0.2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2.75" customHeight="1" x14ac:dyDescent="0.2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2.75" customHeight="1" x14ac:dyDescent="0.2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2.75" customHeight="1" x14ac:dyDescent="0.2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2.75" customHeight="1" x14ac:dyDescent="0.2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2.75" customHeight="1" x14ac:dyDescent="0.2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2.75" customHeight="1" x14ac:dyDescent="0.2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2.75" customHeight="1" x14ac:dyDescent="0.2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2.75" customHeight="1" x14ac:dyDescent="0.2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2.75" customHeight="1" x14ac:dyDescent="0.2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2.75" customHeight="1" x14ac:dyDescent="0.2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2.75" customHeight="1" x14ac:dyDescent="0.2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2.75" customHeight="1" x14ac:dyDescent="0.2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2.75" customHeight="1" x14ac:dyDescent="0.2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2.75" customHeight="1" x14ac:dyDescent="0.2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2.75" customHeight="1" x14ac:dyDescent="0.2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2.75" customHeight="1" x14ac:dyDescent="0.2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2.75" customHeight="1" x14ac:dyDescent="0.2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2.75" customHeight="1" x14ac:dyDescent="0.2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2.75" customHeight="1" x14ac:dyDescent="0.2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2.75" customHeight="1" x14ac:dyDescent="0.2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2.75" customHeight="1" x14ac:dyDescent="0.2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2.75" customHeight="1" x14ac:dyDescent="0.2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2.75" customHeight="1" x14ac:dyDescent="0.2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2.75" customHeight="1" x14ac:dyDescent="0.2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2.75" customHeight="1" x14ac:dyDescent="0.2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2.75" customHeight="1" x14ac:dyDescent="0.2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2.75" customHeight="1" x14ac:dyDescent="0.2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2.75" customHeight="1" x14ac:dyDescent="0.2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2.75" customHeight="1" x14ac:dyDescent="0.2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2.75" customHeight="1" x14ac:dyDescent="0.2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2.75" customHeight="1" x14ac:dyDescent="0.2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2.75" customHeight="1" x14ac:dyDescent="0.2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2.75" customHeight="1" x14ac:dyDescent="0.2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2.75" customHeight="1" x14ac:dyDescent="0.2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2.75" customHeight="1" x14ac:dyDescent="0.2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2.75" customHeight="1" x14ac:dyDescent="0.2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2.75" customHeight="1" x14ac:dyDescent="0.2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2.75" customHeight="1" x14ac:dyDescent="0.2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2.75" customHeight="1" x14ac:dyDescent="0.2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2.75" customHeight="1" x14ac:dyDescent="0.2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2.75" customHeight="1" x14ac:dyDescent="0.2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2.75" customHeight="1" x14ac:dyDescent="0.2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2.75" customHeight="1" x14ac:dyDescent="0.2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2.75" customHeight="1" x14ac:dyDescent="0.2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2.75" customHeight="1" x14ac:dyDescent="0.2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2.75" customHeight="1" x14ac:dyDescent="0.2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2.75" customHeight="1" x14ac:dyDescent="0.2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2.75" customHeight="1" x14ac:dyDescent="0.2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2.75" customHeight="1" x14ac:dyDescent="0.2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2.75" customHeight="1" x14ac:dyDescent="0.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2.75" customHeight="1" x14ac:dyDescent="0.2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2.75" customHeight="1" x14ac:dyDescent="0.2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2.75" customHeight="1" x14ac:dyDescent="0.2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2.75" customHeight="1" x14ac:dyDescent="0.2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2.75" customHeight="1" x14ac:dyDescent="0.2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2.75" customHeight="1" x14ac:dyDescent="0.2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2.75" customHeight="1" x14ac:dyDescent="0.2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2.75" customHeight="1" x14ac:dyDescent="0.2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2.75" customHeight="1" x14ac:dyDescent="0.2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2.75" customHeight="1" x14ac:dyDescent="0.2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2.75" customHeight="1" x14ac:dyDescent="0.2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2.75" customHeight="1" x14ac:dyDescent="0.2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2.75" customHeight="1" x14ac:dyDescent="0.2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2.75" customHeight="1" x14ac:dyDescent="0.2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2.75" customHeight="1" x14ac:dyDescent="0.2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2.75" customHeight="1" x14ac:dyDescent="0.2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2.75" customHeight="1" x14ac:dyDescent="0.2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2.75" customHeight="1" x14ac:dyDescent="0.2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2.75" customHeight="1" x14ac:dyDescent="0.2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2.75" customHeight="1" x14ac:dyDescent="0.2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2.75" customHeight="1" x14ac:dyDescent="0.2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2.75" customHeight="1" x14ac:dyDescent="0.2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2.75" customHeight="1" x14ac:dyDescent="0.2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2.75" customHeight="1" x14ac:dyDescent="0.2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2.75" customHeight="1" x14ac:dyDescent="0.2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2.75" customHeight="1" x14ac:dyDescent="0.2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2.75" customHeight="1" x14ac:dyDescent="0.2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2.75" customHeight="1" x14ac:dyDescent="0.2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2.75" customHeight="1" x14ac:dyDescent="0.2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2.75" customHeight="1" x14ac:dyDescent="0.2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2.75" customHeight="1" x14ac:dyDescent="0.2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2.75" customHeight="1" x14ac:dyDescent="0.2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2.75" customHeight="1" x14ac:dyDescent="0.2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2.75" customHeight="1" x14ac:dyDescent="0.2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2.75" customHeight="1" x14ac:dyDescent="0.2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2.75" customHeight="1" x14ac:dyDescent="0.2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2.75" customHeight="1" x14ac:dyDescent="0.2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2.75" customHeight="1" x14ac:dyDescent="0.2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2.75" customHeight="1" x14ac:dyDescent="0.2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2.75" customHeight="1" x14ac:dyDescent="0.2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2.75" customHeight="1" x14ac:dyDescent="0.2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2.75" customHeight="1" x14ac:dyDescent="0.2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2.75" customHeight="1" x14ac:dyDescent="0.2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2.75" customHeight="1" x14ac:dyDescent="0.2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2.75" customHeight="1" x14ac:dyDescent="0.2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2.75" customHeight="1" x14ac:dyDescent="0.2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2.75" customHeight="1" x14ac:dyDescent="0.2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2.75" customHeight="1" x14ac:dyDescent="0.2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2.75" customHeight="1" x14ac:dyDescent="0.2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2.75" customHeight="1" x14ac:dyDescent="0.2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2.75" customHeight="1" x14ac:dyDescent="0.2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2.75" customHeight="1" x14ac:dyDescent="0.2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2.75" customHeight="1" x14ac:dyDescent="0.2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2.75" customHeight="1" x14ac:dyDescent="0.2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2.75" customHeight="1" x14ac:dyDescent="0.2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2.75" customHeight="1" x14ac:dyDescent="0.2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2.75" customHeight="1" x14ac:dyDescent="0.2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2.75" customHeight="1" x14ac:dyDescent="0.2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2.75" customHeight="1" x14ac:dyDescent="0.2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2.75" customHeight="1" x14ac:dyDescent="0.2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2.75" customHeight="1" x14ac:dyDescent="0.2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2.75" customHeight="1" x14ac:dyDescent="0.2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2.75" customHeight="1" x14ac:dyDescent="0.2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2.75" customHeight="1" x14ac:dyDescent="0.2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2.75" customHeight="1" x14ac:dyDescent="0.2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2.75" customHeight="1" x14ac:dyDescent="0.2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2.75" customHeight="1" x14ac:dyDescent="0.2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2.75" customHeight="1" x14ac:dyDescent="0.2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2.75" customHeight="1" x14ac:dyDescent="0.2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2.75" customHeight="1" x14ac:dyDescent="0.2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2.75" customHeight="1" x14ac:dyDescent="0.2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2.75" customHeight="1" x14ac:dyDescent="0.2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2.75" customHeight="1" x14ac:dyDescent="0.2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2.75" customHeight="1" x14ac:dyDescent="0.2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2.75" customHeight="1" x14ac:dyDescent="0.2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2.75" customHeight="1" x14ac:dyDescent="0.2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2.75" customHeight="1" x14ac:dyDescent="0.2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2.75" customHeight="1" x14ac:dyDescent="0.2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2.75" customHeight="1" x14ac:dyDescent="0.2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2.75" customHeight="1" x14ac:dyDescent="0.2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2.75" customHeight="1" x14ac:dyDescent="0.2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2.75" customHeight="1" x14ac:dyDescent="0.2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2.75" customHeight="1" x14ac:dyDescent="0.2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2.75" customHeight="1" x14ac:dyDescent="0.2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2.75" customHeight="1" x14ac:dyDescent="0.2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2.75" customHeight="1" x14ac:dyDescent="0.2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2.75" customHeight="1" x14ac:dyDescent="0.2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2.75" customHeight="1" x14ac:dyDescent="0.2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2.75" customHeight="1" x14ac:dyDescent="0.2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2.75" customHeight="1" x14ac:dyDescent="0.2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2.75" customHeight="1" x14ac:dyDescent="0.2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2.75" customHeight="1" x14ac:dyDescent="0.2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2.75" customHeight="1" x14ac:dyDescent="0.2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2.75" customHeight="1" x14ac:dyDescent="0.2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2.75" customHeight="1" x14ac:dyDescent="0.2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2.75" customHeight="1" x14ac:dyDescent="0.2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2.75" customHeight="1" x14ac:dyDescent="0.2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2.75" customHeight="1" x14ac:dyDescent="0.2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2.75" customHeight="1" x14ac:dyDescent="0.2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2.75" customHeight="1" x14ac:dyDescent="0.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2.75" customHeight="1" x14ac:dyDescent="0.2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2.75" customHeight="1" x14ac:dyDescent="0.2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2.75" customHeight="1" x14ac:dyDescent="0.2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2.75" customHeight="1" x14ac:dyDescent="0.2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2.75" customHeight="1" x14ac:dyDescent="0.2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2.75" customHeight="1" x14ac:dyDescent="0.2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2.75" customHeight="1" x14ac:dyDescent="0.2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2.75" customHeight="1" x14ac:dyDescent="0.2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2.75" customHeight="1" x14ac:dyDescent="0.2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2.75" customHeight="1" x14ac:dyDescent="0.2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2.75" customHeight="1" x14ac:dyDescent="0.2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2.75" customHeight="1" x14ac:dyDescent="0.2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2.75" customHeight="1" x14ac:dyDescent="0.2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2.75" customHeight="1" x14ac:dyDescent="0.2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2.75" customHeight="1" x14ac:dyDescent="0.2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2.75" customHeight="1" x14ac:dyDescent="0.2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2.75" customHeight="1" x14ac:dyDescent="0.2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2.75" customHeight="1" x14ac:dyDescent="0.2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2.75" customHeight="1" x14ac:dyDescent="0.2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2.75" customHeight="1" x14ac:dyDescent="0.2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2.75" customHeight="1" x14ac:dyDescent="0.2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2.75" customHeight="1" x14ac:dyDescent="0.2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2.75" customHeight="1" x14ac:dyDescent="0.2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2.75" customHeight="1" x14ac:dyDescent="0.2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2.75" customHeight="1" x14ac:dyDescent="0.2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2.75" customHeight="1" x14ac:dyDescent="0.2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2.75" customHeight="1" x14ac:dyDescent="0.2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2.75" customHeight="1" x14ac:dyDescent="0.2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2.75" customHeight="1" x14ac:dyDescent="0.2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2.75" customHeight="1" x14ac:dyDescent="0.2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2.75" customHeight="1" x14ac:dyDescent="0.2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2.75" customHeight="1" x14ac:dyDescent="0.2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2.75" customHeight="1" x14ac:dyDescent="0.2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2.75" customHeight="1" x14ac:dyDescent="0.2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2.75" customHeight="1" x14ac:dyDescent="0.2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2.75" customHeight="1" x14ac:dyDescent="0.2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2.75" customHeight="1" x14ac:dyDescent="0.2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2.75" customHeight="1" x14ac:dyDescent="0.2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2.75" customHeight="1" x14ac:dyDescent="0.2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2.75" customHeight="1" x14ac:dyDescent="0.2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2.75" customHeight="1" x14ac:dyDescent="0.2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2.75" customHeight="1" x14ac:dyDescent="0.2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2.75" customHeight="1" x14ac:dyDescent="0.2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2.75" customHeight="1" x14ac:dyDescent="0.2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2.75" customHeight="1" x14ac:dyDescent="0.2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2.75" customHeight="1" x14ac:dyDescent="0.2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2.75" customHeight="1" x14ac:dyDescent="0.2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2.75" customHeight="1" x14ac:dyDescent="0.2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2.75" customHeight="1" x14ac:dyDescent="0.2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2.75" customHeight="1" x14ac:dyDescent="0.2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2.75" customHeight="1" x14ac:dyDescent="0.2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2.75" customHeight="1" x14ac:dyDescent="0.2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2.75" customHeight="1" x14ac:dyDescent="0.2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2.75" customHeight="1" x14ac:dyDescent="0.2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2.75" customHeight="1" x14ac:dyDescent="0.2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2.75" customHeight="1" x14ac:dyDescent="0.2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2.75" customHeight="1" x14ac:dyDescent="0.2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2.75" customHeight="1" x14ac:dyDescent="0.2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2.75" customHeight="1" x14ac:dyDescent="0.2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2.75" customHeight="1" x14ac:dyDescent="0.2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2.75" customHeight="1" x14ac:dyDescent="0.2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2.75" customHeight="1" x14ac:dyDescent="0.2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2.75" customHeight="1" x14ac:dyDescent="0.2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2.75" customHeight="1" x14ac:dyDescent="0.2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2.75" customHeight="1" x14ac:dyDescent="0.2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2.75" customHeight="1" x14ac:dyDescent="0.2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2.75" customHeight="1" x14ac:dyDescent="0.2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2.75" customHeight="1" x14ac:dyDescent="0.2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2.75" customHeight="1" x14ac:dyDescent="0.2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2.75" customHeight="1" x14ac:dyDescent="0.2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2.75" customHeight="1" x14ac:dyDescent="0.2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2.75" customHeight="1" x14ac:dyDescent="0.2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2.75" customHeight="1" x14ac:dyDescent="0.2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2.75" customHeight="1" x14ac:dyDescent="0.2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2.75" customHeight="1" x14ac:dyDescent="0.2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2.75" customHeight="1" x14ac:dyDescent="0.2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2.75" customHeight="1" x14ac:dyDescent="0.2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2.75" customHeight="1" x14ac:dyDescent="0.2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2.75" customHeight="1" x14ac:dyDescent="0.2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2.75" customHeight="1" x14ac:dyDescent="0.2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2.75" customHeight="1" x14ac:dyDescent="0.2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2.75" customHeight="1" x14ac:dyDescent="0.2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2.75" customHeight="1" x14ac:dyDescent="0.2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2.75" customHeight="1" x14ac:dyDescent="0.2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2.75" customHeight="1" x14ac:dyDescent="0.2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2.75" customHeight="1" x14ac:dyDescent="0.2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2.75" customHeight="1" x14ac:dyDescent="0.2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2.75" customHeight="1" x14ac:dyDescent="0.2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2.75" customHeight="1" x14ac:dyDescent="0.2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2.75" customHeight="1" x14ac:dyDescent="0.2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2.75" customHeight="1" x14ac:dyDescent="0.2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2.75" customHeight="1" x14ac:dyDescent="0.2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2.75" customHeight="1" x14ac:dyDescent="0.2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2.75" customHeight="1" x14ac:dyDescent="0.2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2.75" customHeight="1" x14ac:dyDescent="0.2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2.75" customHeight="1" x14ac:dyDescent="0.2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2.75" customHeight="1" x14ac:dyDescent="0.2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2.75" customHeight="1" x14ac:dyDescent="0.2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2.75" customHeight="1" x14ac:dyDescent="0.2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2.75" customHeight="1" x14ac:dyDescent="0.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2.75" customHeight="1" x14ac:dyDescent="0.2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2.75" customHeight="1" x14ac:dyDescent="0.2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2.75" customHeight="1" x14ac:dyDescent="0.2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2.75" customHeight="1" x14ac:dyDescent="0.2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2.75" customHeight="1" x14ac:dyDescent="0.2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2.75" customHeight="1" x14ac:dyDescent="0.2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2.75" customHeight="1" x14ac:dyDescent="0.2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2.75" customHeight="1" x14ac:dyDescent="0.2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2.75" customHeight="1" x14ac:dyDescent="0.2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2.75" customHeight="1" x14ac:dyDescent="0.2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2.75" customHeight="1" x14ac:dyDescent="0.2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2.75" customHeight="1" x14ac:dyDescent="0.2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2.75" customHeight="1" x14ac:dyDescent="0.2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2.75" customHeight="1" x14ac:dyDescent="0.2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2.75" customHeight="1" x14ac:dyDescent="0.2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2.75" customHeight="1" x14ac:dyDescent="0.2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2.75" customHeight="1" x14ac:dyDescent="0.2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2.75" customHeight="1" x14ac:dyDescent="0.2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2.75" customHeight="1" x14ac:dyDescent="0.2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2.75" customHeight="1" x14ac:dyDescent="0.2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2.75" customHeight="1" x14ac:dyDescent="0.2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2.75" customHeight="1" x14ac:dyDescent="0.2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2.75" customHeight="1" x14ac:dyDescent="0.2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2.75" customHeight="1" x14ac:dyDescent="0.2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2.75" customHeight="1" x14ac:dyDescent="0.2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2.75" customHeight="1" x14ac:dyDescent="0.2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2.75" customHeight="1" x14ac:dyDescent="0.2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2.75" customHeight="1" x14ac:dyDescent="0.2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2.75" customHeight="1" x14ac:dyDescent="0.2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2.75" customHeight="1" x14ac:dyDescent="0.2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2.75" customHeight="1" x14ac:dyDescent="0.2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2.75" customHeight="1" x14ac:dyDescent="0.2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2.75" customHeight="1" x14ac:dyDescent="0.2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2.75" customHeight="1" x14ac:dyDescent="0.2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2.75" customHeight="1" x14ac:dyDescent="0.2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2.75" customHeight="1" x14ac:dyDescent="0.2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12.75" customHeight="1" x14ac:dyDescent="0.2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12.75" customHeight="1" x14ac:dyDescent="0.2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2.75" customHeight="1" x14ac:dyDescent="0.2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2.75" customHeight="1" x14ac:dyDescent="0.2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12.75" customHeight="1" x14ac:dyDescent="0.2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12.75" customHeight="1" x14ac:dyDescent="0.2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12.75" customHeight="1" x14ac:dyDescent="0.2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12.75" customHeight="1" x14ac:dyDescent="0.2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12.75" customHeight="1" x14ac:dyDescent="0.2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12.75" customHeight="1" x14ac:dyDescent="0.2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12.75" customHeight="1" x14ac:dyDescent="0.2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12.75" customHeight="1" x14ac:dyDescent="0.2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12.75" customHeight="1" x14ac:dyDescent="0.2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12.75" customHeight="1" x14ac:dyDescent="0.2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12.75" customHeight="1" x14ac:dyDescent="0.2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12.75" customHeight="1" x14ac:dyDescent="0.2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12.75" customHeight="1" x14ac:dyDescent="0.2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12.75" customHeight="1" x14ac:dyDescent="0.2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12.75" customHeight="1" x14ac:dyDescent="0.2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12.75" customHeight="1" x14ac:dyDescent="0.2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12.75" customHeight="1" x14ac:dyDescent="0.2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12.75" customHeight="1" x14ac:dyDescent="0.2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12.75" customHeight="1" x14ac:dyDescent="0.2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12.75" customHeight="1" x14ac:dyDescent="0.2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12.75" customHeight="1" x14ac:dyDescent="0.2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12.75" customHeight="1" x14ac:dyDescent="0.25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12.75" customHeight="1" x14ac:dyDescent="0.25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12.75" customHeight="1" x14ac:dyDescent="0.25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12.75" customHeight="1" x14ac:dyDescent="0.25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ht="12.75" customHeight="1" x14ac:dyDescent="0.25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ht="12.75" customHeight="1" x14ac:dyDescent="0.25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ht="12.75" customHeight="1" x14ac:dyDescent="0.25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ht="12.75" customHeight="1" x14ac:dyDescent="0.25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ht="12.75" customHeight="1" x14ac:dyDescent="0.2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 ht="12.75" customHeight="1" x14ac:dyDescent="0.25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 ht="12.75" customHeight="1" x14ac:dyDescent="0.25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 ht="12.75" customHeight="1" x14ac:dyDescent="0.25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 ht="12.75" customHeight="1" x14ac:dyDescent="0.25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 ht="12.75" customHeight="1" x14ac:dyDescent="0.25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14">
    <mergeCell ref="C35:E35"/>
    <mergeCell ref="B36:F36"/>
    <mergeCell ref="B4:E4"/>
    <mergeCell ref="B7:E7"/>
    <mergeCell ref="B22:D22"/>
    <mergeCell ref="B26:E26"/>
    <mergeCell ref="C27:E27"/>
    <mergeCell ref="C28:E28"/>
    <mergeCell ref="C29:E29"/>
    <mergeCell ref="C30:E30"/>
    <mergeCell ref="C31:E31"/>
    <mergeCell ref="C32:E32"/>
    <mergeCell ref="C33:E33"/>
    <mergeCell ref="C34:E34"/>
  </mergeCells>
  <dataValidations count="1">
    <dataValidation type="decimal" allowBlank="1" showErrorMessage="1" sqref="E9:E21 I9:I21 G28:G35 I28:I35" xr:uid="{00000000-0002-0000-0300-000000000000}">
      <formula1>0</formula1>
      <formula2>5</formula2>
    </dataValidation>
  </dataValidations>
  <pageMargins left="0.78749999999999998" right="0.78749999999999998" top="0.98402777777777795" bottom="0.9840277777777779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FF"/>
  </sheetPr>
  <dimension ref="A1:AF1000"/>
  <sheetViews>
    <sheetView workbookViewId="0"/>
  </sheetViews>
  <sheetFormatPr defaultColWidth="12.6640625" defaultRowHeight="15" customHeight="1" x14ac:dyDescent="0.25"/>
  <cols>
    <col min="1" max="3" width="11.6640625" customWidth="1"/>
    <col min="4" max="4" width="15" customWidth="1"/>
    <col min="5" max="5" width="14.21875" customWidth="1"/>
    <col min="6" max="6" width="20.6640625" customWidth="1"/>
    <col min="7" max="7" width="16.77734375" customWidth="1"/>
    <col min="8" max="8" width="20.77734375" customWidth="1"/>
    <col min="9" max="32" width="11.6640625" customWidth="1"/>
  </cols>
  <sheetData>
    <row r="1" spans="1:32" ht="12.75" customHeight="1" x14ac:dyDescent="0.3">
      <c r="A1" s="11"/>
      <c r="B1" s="136" t="s">
        <v>226</v>
      </c>
      <c r="C1" s="126"/>
      <c r="D1" s="126"/>
      <c r="E1" s="126"/>
      <c r="F1" s="126"/>
      <c r="G1" s="126"/>
      <c r="H1" s="126"/>
      <c r="I1" s="126"/>
      <c r="J1" s="126"/>
      <c r="K1" s="126"/>
      <c r="L1" s="127"/>
      <c r="M1" s="66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</row>
    <row r="2" spans="1:32" ht="12.75" customHeight="1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</row>
    <row r="3" spans="1:3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</row>
    <row r="4" spans="1:32" ht="12.75" customHeight="1" x14ac:dyDescent="0.25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</row>
    <row r="5" spans="1:32" ht="12.75" customHeight="1" x14ac:dyDescent="0.25">
      <c r="A5" s="11"/>
      <c r="B5" s="67" t="s">
        <v>227</v>
      </c>
      <c r="C5" s="68" t="s">
        <v>228</v>
      </c>
      <c r="D5" s="68" t="s">
        <v>229</v>
      </c>
      <c r="E5" s="69" t="s">
        <v>230</v>
      </c>
      <c r="F5" s="69" t="s">
        <v>231</v>
      </c>
      <c r="G5" s="69" t="s">
        <v>232</v>
      </c>
      <c r="H5" s="69" t="s">
        <v>233</v>
      </c>
      <c r="I5" s="69" t="s">
        <v>234</v>
      </c>
      <c r="J5" s="69" t="s">
        <v>235</v>
      </c>
      <c r="K5" s="69" t="s">
        <v>236</v>
      </c>
      <c r="L5" s="70" t="s">
        <v>237</v>
      </c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</row>
    <row r="6" spans="1:32" ht="12.75" customHeight="1" x14ac:dyDescent="0.25">
      <c r="A6" s="11"/>
      <c r="B6" s="71" t="s">
        <v>238</v>
      </c>
      <c r="C6" s="44">
        <v>190</v>
      </c>
      <c r="D6" s="27">
        <f t="shared" ref="D6:D9" si="0">SUM(E6:K6)</f>
        <v>589</v>
      </c>
      <c r="E6" s="72">
        <v>25</v>
      </c>
      <c r="F6" s="72">
        <v>80</v>
      </c>
      <c r="G6" s="72">
        <v>25</v>
      </c>
      <c r="H6" s="72">
        <v>400</v>
      </c>
      <c r="I6" s="72">
        <v>10</v>
      </c>
      <c r="J6" s="72">
        <v>25</v>
      </c>
      <c r="K6" s="72">
        <v>24</v>
      </c>
      <c r="L6" s="73">
        <f t="shared" ref="L6:L9" si="1">D6/C6</f>
        <v>3.1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</row>
    <row r="7" spans="1:32" ht="12.75" customHeight="1" x14ac:dyDescent="0.25">
      <c r="A7" s="11"/>
      <c r="B7" s="71" t="s">
        <v>239</v>
      </c>
      <c r="C7" s="27">
        <v>130</v>
      </c>
      <c r="D7" s="27">
        <f t="shared" si="0"/>
        <v>326</v>
      </c>
      <c r="E7" s="74">
        <v>20</v>
      </c>
      <c r="F7" s="74">
        <v>120</v>
      </c>
      <c r="G7" s="74">
        <v>30</v>
      </c>
      <c r="H7" s="74">
        <v>100</v>
      </c>
      <c r="I7" s="74">
        <v>10</v>
      </c>
      <c r="J7" s="74">
        <v>30</v>
      </c>
      <c r="K7" s="74">
        <v>16</v>
      </c>
      <c r="L7" s="73">
        <f t="shared" si="1"/>
        <v>2.5076923076923077</v>
      </c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</row>
    <row r="8" spans="1:32" ht="12.75" customHeight="1" x14ac:dyDescent="0.25">
      <c r="A8" s="11"/>
      <c r="B8" s="71" t="s">
        <v>240</v>
      </c>
      <c r="C8" s="27">
        <v>140</v>
      </c>
      <c r="D8" s="27">
        <f t="shared" si="0"/>
        <v>399</v>
      </c>
      <c r="E8" s="75">
        <v>17</v>
      </c>
      <c r="F8" s="75">
        <v>90</v>
      </c>
      <c r="G8" s="75">
        <v>32</v>
      </c>
      <c r="H8" s="75">
        <v>200</v>
      </c>
      <c r="I8" s="75">
        <v>12</v>
      </c>
      <c r="J8" s="75">
        <v>32</v>
      </c>
      <c r="K8" s="75">
        <v>16</v>
      </c>
      <c r="L8" s="73">
        <f t="shared" si="1"/>
        <v>2.85</v>
      </c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</row>
    <row r="9" spans="1:32" ht="12.75" customHeight="1" x14ac:dyDescent="0.25">
      <c r="A9" s="11"/>
      <c r="B9" s="71" t="s">
        <v>241</v>
      </c>
      <c r="C9" s="27">
        <v>125</v>
      </c>
      <c r="D9" s="27">
        <f t="shared" si="0"/>
        <v>486</v>
      </c>
      <c r="E9" s="74">
        <v>22</v>
      </c>
      <c r="F9" s="74">
        <v>80</v>
      </c>
      <c r="G9" s="74">
        <v>33</v>
      </c>
      <c r="H9" s="74">
        <v>300</v>
      </c>
      <c r="I9" s="74">
        <v>8</v>
      </c>
      <c r="J9" s="74">
        <v>35</v>
      </c>
      <c r="K9" s="74">
        <v>8</v>
      </c>
      <c r="L9" s="73">
        <f t="shared" si="1"/>
        <v>3.8879999999999999</v>
      </c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</row>
    <row r="10" spans="1:32" ht="12.75" customHeight="1" x14ac:dyDescent="0.25">
      <c r="A10" s="11"/>
      <c r="B10" s="76"/>
      <c r="C10" s="27"/>
      <c r="D10" s="27"/>
      <c r="E10" s="74"/>
      <c r="F10" s="74"/>
      <c r="G10" s="74"/>
      <c r="H10" s="74"/>
      <c r="I10" s="74"/>
      <c r="J10" s="74"/>
      <c r="K10" s="74"/>
      <c r="L10" s="77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</row>
    <row r="11" spans="1:32" ht="12.75" customHeight="1" x14ac:dyDescent="0.25">
      <c r="A11" s="11"/>
      <c r="B11" s="76"/>
      <c r="C11" s="27"/>
      <c r="D11" s="27"/>
      <c r="E11" s="74"/>
      <c r="F11" s="74"/>
      <c r="G11" s="74"/>
      <c r="H11" s="74"/>
      <c r="I11" s="74"/>
      <c r="J11" s="74"/>
      <c r="K11" s="74"/>
      <c r="L11" s="77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</row>
    <row r="12" spans="1:32" ht="12.75" customHeight="1" x14ac:dyDescent="0.25">
      <c r="A12" s="11"/>
      <c r="B12" s="76"/>
      <c r="C12" s="27"/>
      <c r="D12" s="27"/>
      <c r="E12" s="74"/>
      <c r="F12" s="74"/>
      <c r="G12" s="74"/>
      <c r="H12" s="74"/>
      <c r="I12" s="74"/>
      <c r="J12" s="74"/>
      <c r="K12" s="74"/>
      <c r="L12" s="77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</row>
    <row r="13" spans="1:32" ht="12.75" customHeight="1" x14ac:dyDescent="0.25">
      <c r="A13" s="11"/>
      <c r="B13" s="76"/>
      <c r="C13" s="27"/>
      <c r="D13" s="27"/>
      <c r="E13" s="74"/>
      <c r="F13" s="74"/>
      <c r="G13" s="74"/>
      <c r="H13" s="74"/>
      <c r="I13" s="74"/>
      <c r="J13" s="74"/>
      <c r="K13" s="74"/>
      <c r="L13" s="77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</row>
    <row r="14" spans="1:32" ht="12.75" customHeight="1" x14ac:dyDescent="0.25">
      <c r="A14" s="11"/>
      <c r="B14" s="76"/>
      <c r="C14" s="27"/>
      <c r="D14" s="27"/>
      <c r="E14" s="74"/>
      <c r="F14" s="74"/>
      <c r="G14" s="74"/>
      <c r="H14" s="74"/>
      <c r="I14" s="74"/>
      <c r="J14" s="74"/>
      <c r="K14" s="74"/>
      <c r="L14" s="77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</row>
    <row r="15" spans="1:32" ht="12.75" customHeight="1" x14ac:dyDescent="0.25">
      <c r="A15" s="11"/>
      <c r="B15" s="76"/>
      <c r="C15" s="27"/>
      <c r="D15" s="27"/>
      <c r="E15" s="74"/>
      <c r="F15" s="74"/>
      <c r="G15" s="74"/>
      <c r="H15" s="74"/>
      <c r="I15" s="74"/>
      <c r="J15" s="74"/>
      <c r="K15" s="74"/>
      <c r="L15" s="77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</row>
    <row r="16" spans="1:32" ht="12.75" customHeight="1" x14ac:dyDescent="0.25">
      <c r="A16" s="11"/>
      <c r="B16" s="76"/>
      <c r="C16" s="27"/>
      <c r="D16" s="27"/>
      <c r="E16" s="74"/>
      <c r="F16" s="74"/>
      <c r="G16" s="74"/>
      <c r="H16" s="74"/>
      <c r="I16" s="74"/>
      <c r="J16" s="74"/>
      <c r="K16" s="74"/>
      <c r="L16" s="77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</row>
    <row r="17" spans="1:32" ht="12.75" customHeight="1" x14ac:dyDescent="0.25">
      <c r="A17" s="11"/>
      <c r="B17" s="76"/>
      <c r="C17" s="27"/>
      <c r="D17" s="27"/>
      <c r="E17" s="74"/>
      <c r="F17" s="74"/>
      <c r="G17" s="74"/>
      <c r="H17" s="74"/>
      <c r="I17" s="74"/>
      <c r="J17" s="74"/>
      <c r="K17" s="74"/>
      <c r="L17" s="77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</row>
    <row r="18" spans="1:32" ht="12.75" customHeight="1" x14ac:dyDescent="0.25">
      <c r="A18" s="11"/>
      <c r="B18" s="76"/>
      <c r="C18" s="27"/>
      <c r="D18" s="27"/>
      <c r="E18" s="74"/>
      <c r="F18" s="74"/>
      <c r="G18" s="74"/>
      <c r="H18" s="74"/>
      <c r="I18" s="74"/>
      <c r="J18" s="74"/>
      <c r="K18" s="74"/>
      <c r="L18" s="77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</row>
    <row r="19" spans="1:32" ht="12.75" customHeight="1" x14ac:dyDescent="0.25">
      <c r="A19" s="11"/>
      <c r="B19" s="76"/>
      <c r="C19" s="27"/>
      <c r="D19" s="27"/>
      <c r="E19" s="74"/>
      <c r="F19" s="74"/>
      <c r="G19" s="74"/>
      <c r="H19" s="74"/>
      <c r="I19" s="74"/>
      <c r="J19" s="74"/>
      <c r="K19" s="74"/>
      <c r="L19" s="77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</row>
    <row r="20" spans="1:32" ht="12.75" customHeight="1" x14ac:dyDescent="0.25">
      <c r="A20" s="11"/>
      <c r="B20" s="76"/>
      <c r="C20" s="27"/>
      <c r="D20" s="27"/>
      <c r="E20" s="74"/>
      <c r="F20" s="74"/>
      <c r="G20" s="74"/>
      <c r="H20" s="74"/>
      <c r="I20" s="74"/>
      <c r="J20" s="74"/>
      <c r="K20" s="74"/>
      <c r="L20" s="77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</row>
    <row r="21" spans="1:32" ht="12.75" customHeight="1" x14ac:dyDescent="0.25">
      <c r="A21" s="11"/>
      <c r="B21" s="76"/>
      <c r="C21" s="27"/>
      <c r="D21" s="27"/>
      <c r="E21" s="74"/>
      <c r="F21" s="74"/>
      <c r="G21" s="74"/>
      <c r="H21" s="74"/>
      <c r="I21" s="74"/>
      <c r="J21" s="74"/>
      <c r="K21" s="74"/>
      <c r="L21" s="77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</row>
    <row r="22" spans="1:32" ht="12.75" customHeight="1" x14ac:dyDescent="0.25">
      <c r="A22" s="11"/>
      <c r="B22" s="76"/>
      <c r="C22" s="27"/>
      <c r="D22" s="27"/>
      <c r="E22" s="74"/>
      <c r="F22" s="74"/>
      <c r="G22" s="74"/>
      <c r="H22" s="74"/>
      <c r="I22" s="74"/>
      <c r="J22" s="74"/>
      <c r="K22" s="74"/>
      <c r="L22" s="77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</row>
    <row r="23" spans="1:32" ht="12.75" customHeight="1" x14ac:dyDescent="0.25">
      <c r="A23" s="11"/>
      <c r="B23" s="76"/>
      <c r="C23" s="27"/>
      <c r="D23" s="27"/>
      <c r="E23" s="74"/>
      <c r="F23" s="74"/>
      <c r="G23" s="74"/>
      <c r="H23" s="74"/>
      <c r="I23" s="74"/>
      <c r="J23" s="74"/>
      <c r="K23" s="74"/>
      <c r="L23" s="77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</row>
    <row r="24" spans="1:32" ht="12.75" customHeight="1" x14ac:dyDescent="0.25">
      <c r="A24" s="11"/>
      <c r="B24" s="76"/>
      <c r="C24" s="27"/>
      <c r="D24" s="27"/>
      <c r="E24" s="74"/>
      <c r="F24" s="74"/>
      <c r="G24" s="74"/>
      <c r="H24" s="74"/>
      <c r="I24" s="74"/>
      <c r="J24" s="74"/>
      <c r="K24" s="74"/>
      <c r="L24" s="77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</row>
    <row r="25" spans="1:32" ht="12.75" customHeight="1" x14ac:dyDescent="0.25">
      <c r="A25" s="11"/>
      <c r="B25" s="76"/>
      <c r="C25" s="27"/>
      <c r="D25" s="27"/>
      <c r="E25" s="74"/>
      <c r="F25" s="74"/>
      <c r="G25" s="74"/>
      <c r="H25" s="74"/>
      <c r="I25" s="74"/>
      <c r="J25" s="74"/>
      <c r="K25" s="74"/>
      <c r="L25" s="77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</row>
    <row r="26" spans="1:32" ht="12.75" customHeight="1" x14ac:dyDescent="0.25">
      <c r="A26" s="11"/>
      <c r="B26" s="76"/>
      <c r="C26" s="27"/>
      <c r="D26" s="27"/>
      <c r="E26" s="74"/>
      <c r="F26" s="74"/>
      <c r="G26" s="74"/>
      <c r="H26" s="74"/>
      <c r="I26" s="74"/>
      <c r="J26" s="74"/>
      <c r="K26" s="74"/>
      <c r="L26" s="77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</row>
    <row r="27" spans="1:32" ht="12.75" customHeight="1" x14ac:dyDescent="0.25">
      <c r="A27" s="11"/>
      <c r="B27" s="76"/>
      <c r="C27" s="27"/>
      <c r="D27" s="27"/>
      <c r="E27" s="74"/>
      <c r="F27" s="74"/>
      <c r="G27" s="74"/>
      <c r="H27" s="74"/>
      <c r="I27" s="74"/>
      <c r="J27" s="74"/>
      <c r="K27" s="74"/>
      <c r="L27" s="77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</row>
    <row r="28" spans="1:32" ht="12.75" customHeight="1" x14ac:dyDescent="0.25">
      <c r="A28" s="11"/>
      <c r="B28" s="78"/>
      <c r="C28" s="30"/>
      <c r="D28" s="30"/>
      <c r="E28" s="79"/>
      <c r="F28" s="79"/>
      <c r="G28" s="79"/>
      <c r="H28" s="79"/>
      <c r="I28" s="79"/>
      <c r="J28" s="79"/>
      <c r="K28" s="79"/>
      <c r="L28" s="12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</row>
    <row r="29" spans="1:32" ht="12.75" customHeight="1" x14ac:dyDescent="0.25">
      <c r="A29" s="11"/>
      <c r="B29" s="20" t="s">
        <v>242</v>
      </c>
      <c r="C29" s="80"/>
      <c r="D29" s="80">
        <f t="shared" ref="D29:K29" si="2">SUM(D6:D28)</f>
        <v>1800</v>
      </c>
      <c r="E29" s="80">
        <f t="shared" si="2"/>
        <v>84</v>
      </c>
      <c r="F29" s="80">
        <f t="shared" si="2"/>
        <v>370</v>
      </c>
      <c r="G29" s="80">
        <f t="shared" si="2"/>
        <v>120</v>
      </c>
      <c r="H29" s="80">
        <f t="shared" si="2"/>
        <v>1000</v>
      </c>
      <c r="I29" s="80">
        <f t="shared" si="2"/>
        <v>40</v>
      </c>
      <c r="J29" s="80">
        <f t="shared" si="2"/>
        <v>122</v>
      </c>
      <c r="K29" s="80">
        <f t="shared" si="2"/>
        <v>64</v>
      </c>
      <c r="L29" s="8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</row>
    <row r="30" spans="1:32" ht="12.75" customHeight="1" x14ac:dyDescent="0.25">
      <c r="A30" s="11"/>
      <c r="B30" s="11"/>
      <c r="C30" s="11"/>
      <c r="D30" s="11"/>
      <c r="E30" s="11"/>
      <c r="F30" s="11"/>
      <c r="G30" s="11"/>
      <c r="H30" s="11"/>
      <c r="I30" s="11"/>
      <c r="J30" s="137" t="s">
        <v>243</v>
      </c>
      <c r="K30" s="115"/>
      <c r="L30" s="82">
        <v>8</v>
      </c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</row>
    <row r="31" spans="1:32" ht="12.75" customHeight="1" x14ac:dyDescent="0.25">
      <c r="A31" s="11"/>
      <c r="B31" s="83" t="s">
        <v>244</v>
      </c>
      <c r="C31" s="84"/>
      <c r="D31" s="85"/>
      <c r="E31" s="86">
        <f t="shared" ref="E31:K31" si="3">(E29*1)/$D$29</f>
        <v>4.6666666666666669E-2</v>
      </c>
      <c r="F31" s="86">
        <f t="shared" si="3"/>
        <v>0.20555555555555555</v>
      </c>
      <c r="G31" s="86">
        <f t="shared" si="3"/>
        <v>6.6666666666666666E-2</v>
      </c>
      <c r="H31" s="86">
        <f t="shared" si="3"/>
        <v>0.55555555555555558</v>
      </c>
      <c r="I31" s="86">
        <f t="shared" si="3"/>
        <v>2.2222222222222223E-2</v>
      </c>
      <c r="J31" s="86">
        <f t="shared" si="3"/>
        <v>6.7777777777777784E-2</v>
      </c>
      <c r="K31" s="86">
        <f t="shared" si="3"/>
        <v>3.5555555555555556E-2</v>
      </c>
      <c r="L31" s="87">
        <f>SUM(E31:K31)</f>
        <v>1</v>
      </c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</row>
    <row r="32" spans="1: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2">
    <mergeCell ref="B1:L1"/>
    <mergeCell ref="J30:K30"/>
  </mergeCells>
  <pageMargins left="0.78749999999999998" right="0.78749999999999998" top="1.05277777777778" bottom="1.05277777777778" header="0" footer="0"/>
  <pageSetup paperSize="9" orientation="portrait"/>
  <headerFooter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9</vt:i4>
      </vt:variant>
    </vt:vector>
  </HeadingPairs>
  <TitlesOfParts>
    <vt:vector size="14" baseType="lpstr">
      <vt:lpstr>Geral</vt:lpstr>
      <vt:lpstr>Atores</vt:lpstr>
      <vt:lpstr>RFS ou RFC</vt:lpstr>
      <vt:lpstr>Fatores</vt:lpstr>
      <vt:lpstr>dadoshistoricos</vt:lpstr>
      <vt:lpstr>'RFS ou RFC'!_Toc112831755</vt:lpstr>
      <vt:lpstr>Atores</vt:lpstr>
      <vt:lpstr>CUC</vt:lpstr>
      <vt:lpstr>FCAMB</vt:lpstr>
      <vt:lpstr>FCTEC</vt:lpstr>
      <vt:lpstr>ITEC</vt:lpstr>
      <vt:lpstr>PTA</vt:lpstr>
      <vt:lpstr>PTUC</vt:lpstr>
      <vt:lpstr>UC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Gustavo Taets e Sales</cp:lastModifiedBy>
  <dcterms:modified xsi:type="dcterms:W3CDTF">2025-11-11T21:17:16Z</dcterms:modified>
</cp:coreProperties>
</file>